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鋼梁_天車計算" sheetId="2" state="visible" r:id="rId4"/>
    <sheet name="鋼柱計算" sheetId="3" state="visible" r:id="rId5"/>
    <sheet name="格柵計算" sheetId="4" state="visible" r:id="rId6"/>
    <sheet name="Deck樓板" sheetId="5" state="visible" r:id="rId7"/>
    <sheet name="Summary" sheetId="6" state="visible" r:id="rId8"/>
    <sheet name="DB_Settings" sheetId="7" state="visible" r:id="rId9"/>
    <sheet name="DB_Sections" sheetId="8" state="visible" r:id="rId10"/>
    <sheet name="DB_Deflection" sheetId="9" state="visible" r:id="rId11"/>
    <sheet name="DB_Dropdown" sheetId="10" state="visible" r:id="rId12"/>
    <sheet name="DB_Grating" sheetId="11" state="visible" r:id="rId13"/>
    <sheet name="DB_Deck" sheetId="12" state="visible" r:id="rId14"/>
  </sheets>
  <definedNames>
    <definedName function="false" hidden="false" name="Shape_BOX" vbProcedure="false">DB_Dropdown!$F$2:$F$33</definedName>
    <definedName function="false" hidden="false" name="Shape_C" vbProcedure="false">DB_Dropdown!$C$2:$C$17</definedName>
    <definedName function="false" hidden="false" name="Shape_H" vbProcedure="false">DB_Dropdown!$A$2:$A$141</definedName>
    <definedName function="false" hidden="false" name="Shape_I" vbProcedure="false">DB_Dropdown!$B$2:$B$21</definedName>
    <definedName function="false" hidden="false" name="Shape_L" vbProcedure="false">DB_Dropdown!$E$2:$E$41</definedName>
    <definedName function="false" hidden="false" name="Shape_P" vbProcedure="false">DB_Dropdown!$D$2:$D$46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Noto Sans CJK SC"/>
            <family val="2"/>
          </rPr>
          <t xml:space="preserve">先選鋼構形式，再選擇對應之斷面規格。</t>
        </r>
      </text>
    </comment>
    <comment ref="B16" authorId="0">
      <text>
        <r>
          <rPr>
            <sz val="10"/>
            <rFont val="Noto Sans CJK SC"/>
            <family val="2"/>
          </rPr>
          <t xml:space="preserve">選擇後會自動帶入 </t>
        </r>
        <r>
          <rPr>
            <sz val="10"/>
            <rFont val="Arial"/>
            <family val="2"/>
          </rPr>
          <t xml:space="preserve">L/n </t>
        </r>
        <r>
          <rPr>
            <sz val="10"/>
            <rFont val="Noto Sans CJK SC"/>
            <family val="2"/>
          </rPr>
          <t xml:space="preserve">與絕對上限。</t>
        </r>
      </text>
    </comment>
  </commentList>
</comments>
</file>

<file path=xl/sharedStrings.xml><?xml version="1.0" encoding="utf-8"?>
<sst xmlns="http://schemas.openxmlformats.org/spreadsheetml/2006/main" count="1921" uniqueCount="858">
  <si>
    <t xml:space="preserve">鋼構荷重計算表 — 新手操作指南</t>
  </si>
  <si>
    <t xml:space="preserve">顏色對照表 — 看顏色就知道哪裡該動</t>
  </si>
  <si>
    <t xml:space="preserve">　藍色字 + 淺藍底</t>
  </si>
  <si>
    <t xml:space="preserve">← 你要填的（用下拉選單選 或 直接打數字）</t>
  </si>
  <si>
    <t xml:space="preserve">　灰色底</t>
  </si>
  <si>
    <t xml:space="preserve">← 電腦自動算的（千萬不要改！改了會壞掉）</t>
  </si>
  <si>
    <t xml:space="preserve">　粉紅底</t>
  </si>
  <si>
    <t xml:space="preserve">← 判定結果：OK = 安全 ✅；NG = 不安全 ❌</t>
  </si>
  <si>
    <t xml:space="preserve">　綠色底</t>
  </si>
  <si>
    <t xml:space="preserve">← 控制模式：告訴你「哪個先壞」</t>
  </si>
  <si>
    <t xml:space="preserve">　橘色底</t>
  </si>
  <si>
    <t xml:space="preserve">← 白話翻譯：用日常語言告訴你結果的意思</t>
  </si>
  <si>
    <t xml:space="preserve">這張表在做什麼？</t>
  </si>
  <si>
    <t xml:space="preserve">這張表幫你回答三個問題：</t>
  </si>
  <si>
    <t xml:space="preserve">❶ 這根鋼梁（柱、格柵、樓板）最多能承受多重？</t>
  </si>
  <si>
    <t xml:space="preserve">❷ 放了你的荷重後，安不安全？（看 OK 或 NG）</t>
  </si>
  <si>
    <t xml:space="preserve">❸ 如果不安全，是「彎斷」「剪斷」還是「彎太多」先壞？</t>
  </si>
  <si>
    <t xml:space="preserve">你不需要懂工程公式，只要：</t>
  </si>
  <si>
    <t xml:space="preserve">✅ 用下拉選單選好鋼材種類和尺寸</t>
  </si>
  <si>
    <t xml:space="preserve">✅ 填上長度（mm）和重量（kg）</t>
  </si>
  <si>
    <t xml:space="preserve">✅ 看最下面的「白話翻譯」欄位</t>
  </si>
  <si>
    <t xml:space="preserve">各頁面怎麼用？</t>
  </si>
  <si>
    <t xml:space="preserve">📐 鋼梁（鋼梁_天車計算） — 架在兩根柱子間的橫梁</t>
  </si>
  <si>
    <t xml:space="preserve">　　→ 選鋼材形狀和尺寸（下拉選單）</t>
  </si>
  <si>
    <t xml:space="preserve">　　→ 填跨距（兩支撐點距離 mm）和荷重（kg）</t>
  </si>
  <si>
    <t xml:space="preserve">　　→ 看判定和白話翻譯</t>
  </si>
  <si>
    <t xml:space="preserve">🏛 鋼柱（鋼柱計算） — 直立的柱子</t>
  </si>
  <si>
    <t xml:space="preserve">　　→ 選尺寸、填柱高（mm）</t>
  </si>
  <si>
    <t xml:space="preserve">　　→ 填軸力（從上壓下來的重量 kg）</t>
  </si>
  <si>
    <t xml:space="preserve">　　→ K值不確定就填 1.0</t>
  </si>
  <si>
    <t xml:space="preserve">🔲 格柵（格柵計算） — 工廠走道有洞洞的鋼地板</t>
  </si>
  <si>
    <t xml:space="preserve">　　→ 填承載條高度、厚度、間距</t>
  </si>
  <si>
    <t xml:space="preserve">　　→ 填跨距和荷重</t>
  </si>
  <si>
    <t xml:space="preserve">　　→ 看「最大容許」就知道能放多重</t>
  </si>
  <si>
    <r>
      <rPr>
        <b val="true"/>
        <sz val="12"/>
        <color rgb="FF1565C0"/>
        <rFont val="Cambria"/>
        <family val="0"/>
        <charset val="1"/>
      </rPr>
      <t xml:space="preserve">🏗 Deck</t>
    </r>
    <r>
      <rPr>
        <b val="true"/>
        <sz val="12"/>
        <color rgb="FF1565C0"/>
        <rFont val="Noto Sans CJK SC"/>
        <family val="2"/>
      </rPr>
      <t xml:space="preserve">樓板（</t>
    </r>
    <r>
      <rPr>
        <b val="true"/>
        <sz val="12"/>
        <color rgb="FF1565C0"/>
        <rFont val="Cambria"/>
        <family val="0"/>
        <charset val="1"/>
      </rPr>
      <t xml:space="preserve">Deck</t>
    </r>
    <r>
      <rPr>
        <b val="true"/>
        <sz val="12"/>
        <color rgb="FF1565C0"/>
        <rFont val="Noto Sans CJK SC"/>
        <family val="2"/>
      </rPr>
      <t xml:space="preserve">樓板） — 鋼浪板</t>
    </r>
    <r>
      <rPr>
        <b val="true"/>
        <sz val="12"/>
        <color rgb="FF1565C0"/>
        <rFont val="Cambria"/>
        <family val="0"/>
        <charset val="1"/>
      </rPr>
      <t xml:space="preserve">+</t>
    </r>
    <r>
      <rPr>
        <b val="true"/>
        <sz val="12"/>
        <color rgb="FF1565C0"/>
        <rFont val="Noto Sans CJK SC"/>
        <family val="2"/>
      </rPr>
      <t xml:space="preserve">混凝土的樓板</t>
    </r>
  </si>
  <si>
    <t xml:space="preserve">　　→ 選 Deck 型號、填混凝土厚度</t>
  </si>
  <si>
    <t xml:space="preserve">　　→ 選鋼絲網規格</t>
  </si>
  <si>
    <t xml:space="preserve">　　→ 填活載重，看判定</t>
  </si>
  <si>
    <t xml:space="preserve">📊 總表（Summary） — 一次看完所有構件</t>
  </si>
  <si>
    <t xml:space="preserve">　　→ 直接看「整體判定」</t>
  </si>
  <si>
    <t xml:space="preserve">　　→ 找「最危險構件」優先處理</t>
  </si>
  <si>
    <t xml:space="preserve">⚠ 常見錯誤提醒</t>
  </si>
  <si>
    <t xml:space="preserve">⚠ 單位是 mm 和 kg！1公尺=1000mm，1公噸=1000kg</t>
  </si>
  <si>
    <t xml:space="preserve">⚠ 灰色格子絕對不要改！改了公式會壞掉</t>
  </si>
  <si>
    <t xml:space="preserve">⚠ 不確定重量時，估大一點比較安全</t>
  </si>
  <si>
    <r>
      <rPr>
        <b val="true"/>
        <sz val="11"/>
        <color rgb="FFC62828"/>
        <rFont val="Cambria"/>
        <family val="0"/>
        <charset val="1"/>
      </rPr>
      <t xml:space="preserve">⚠ NG </t>
    </r>
    <r>
      <rPr>
        <b val="true"/>
        <sz val="11"/>
        <color rgb="FFC62828"/>
        <rFont val="Noto Sans CJK SC"/>
        <family val="2"/>
      </rPr>
      <t xml:space="preserve">不是馬上會倒，是超過容許值。建議換大一號斷面</t>
    </r>
  </si>
  <si>
    <t xml:space="preserve">⚠ 這是初估工具，最終設計請結構技師確認</t>
  </si>
  <si>
    <t xml:space="preserve">📖 計算公式速查（進階參考）</t>
  </si>
  <si>
    <t xml:space="preserve">容許彎曲應力</t>
  </si>
  <si>
    <t xml:space="preserve">Fb = 0.66 × Fy</t>
  </si>
  <si>
    <t xml:space="preserve">容許剪應力</t>
  </si>
  <si>
    <t xml:space="preserve">Fv = 0.40 × Fy</t>
  </si>
  <si>
    <t xml:space="preserve">容許彎矩</t>
  </si>
  <si>
    <t xml:space="preserve">M_allow = Fb × Sx</t>
  </si>
  <si>
    <t xml:space="preserve">容許剪力</t>
  </si>
  <si>
    <t xml:space="preserve">V_allow = Fv × Aw</t>
  </si>
  <si>
    <t xml:space="preserve">簡支梁 集中荷重</t>
  </si>
  <si>
    <t xml:space="preserve">M=PL/4, V=P/2, Δ=PL³/48EI</t>
  </si>
  <si>
    <t xml:space="preserve">簡支梁 均佈荷重</t>
  </si>
  <si>
    <t xml:space="preserve">M=wL²/8, V=wL/2, Δ=5wL⁴/384EI</t>
  </si>
  <si>
    <t xml:space="preserve">懸臂梁 集中荷重</t>
  </si>
  <si>
    <t xml:space="preserve">M=PL, V=P, Δ=PL³/3EI</t>
  </si>
  <si>
    <t xml:space="preserve">懸臂梁 均佈荷重</t>
  </si>
  <si>
    <t xml:space="preserve">M=wL²/2, V=wL, Δ=wL⁴/8EI</t>
  </si>
  <si>
    <t xml:space="preserve">柱容許壓應力</t>
  </si>
  <si>
    <r>
      <rPr>
        <sz val="10"/>
        <rFont val="Cambria"/>
        <family val="0"/>
        <charset val="1"/>
      </rPr>
      <t xml:space="preserve">KL/r≤Cc → AISC</t>
    </r>
    <r>
      <rPr>
        <sz val="10"/>
        <rFont val="Noto Sans CJK SC"/>
        <family val="2"/>
      </rPr>
      <t xml:space="preserve">主公式；</t>
    </r>
    <r>
      <rPr>
        <sz val="10"/>
        <rFont val="Cambria"/>
        <family val="0"/>
        <charset val="1"/>
      </rPr>
      <t xml:space="preserve">KL/r&gt;Cc → Euler</t>
    </r>
  </si>
  <si>
    <t xml:space="preserve">梁柱組合</t>
  </si>
  <si>
    <t xml:space="preserve">fa/Fa + fbx/Fbx + fby/Fby ≤ 1.0</t>
  </si>
  <si>
    <r>
      <rPr>
        <b val="true"/>
        <sz val="11"/>
        <rFont val="Cambria"/>
        <family val="0"/>
        <charset val="1"/>
      </rPr>
      <t xml:space="preserve">Deck</t>
    </r>
    <r>
      <rPr>
        <b val="true"/>
        <sz val="11"/>
        <rFont val="Noto Sans CJK SC"/>
        <family val="2"/>
      </rPr>
      <t xml:space="preserve">正彎矩</t>
    </r>
  </si>
  <si>
    <t xml:space="preserve">φMn = φ × As × fy × (d - a/2)</t>
  </si>
  <si>
    <r>
      <rPr>
        <b val="true"/>
        <sz val="11"/>
        <rFont val="Cambria"/>
        <family val="0"/>
        <charset val="1"/>
      </rPr>
      <t xml:space="preserve">Deck</t>
    </r>
    <r>
      <rPr>
        <b val="true"/>
        <sz val="11"/>
        <rFont val="Noto Sans CJK SC"/>
        <family val="2"/>
      </rPr>
      <t xml:space="preserve">剪力</t>
    </r>
  </si>
  <si>
    <t xml:space="preserve">φVc = φ × 0.17√f'c × b × d</t>
  </si>
  <si>
    <t xml:space="preserve">容許撓度</t>
  </si>
  <si>
    <r>
      <rPr>
        <sz val="10"/>
        <rFont val="Cambria"/>
        <family val="0"/>
        <charset val="1"/>
      </rPr>
      <t xml:space="preserve">Δa = L/n</t>
    </r>
    <r>
      <rPr>
        <sz val="10"/>
        <rFont val="Noto Sans CJK SC"/>
        <family val="2"/>
      </rPr>
      <t xml:space="preserve">（有絕對上限取較小值）</t>
    </r>
  </si>
  <si>
    <t xml:space="preserve">鋼梁 / 天車梁 容許荷重與撓度檢核表</t>
  </si>
  <si>
    <t xml:space="preserve">輸入條件</t>
  </si>
  <si>
    <t xml:space="preserve">斷面性質</t>
  </si>
  <si>
    <t xml:space="preserve">容許撓度基準</t>
  </si>
  <si>
    <t xml:space="preserve">梁別</t>
  </si>
  <si>
    <t xml:space="preserve">一般鋼梁</t>
  </si>
  <si>
    <t xml:space="preserve">選鋼梁用途：一般鋼梁 = 普通的梁，天車梁 = 吊車軌道梁</t>
  </si>
  <si>
    <t xml:space="preserve">鋼構形式</t>
  </si>
  <si>
    <t xml:space="preserve">梁類別</t>
  </si>
  <si>
    <t xml:space="preserve">支承條件</t>
  </si>
  <si>
    <t xml:space="preserve">簡支梁</t>
  </si>
  <si>
    <t xml:space="preserve">兩端搭在柱子上 → 簡支梁；一端固定一端懸空 → 懸臂梁</t>
  </si>
  <si>
    <t xml:space="preserve">H / d (mm)</t>
  </si>
  <si>
    <t xml:space="preserve">L/n</t>
  </si>
  <si>
    <t xml:space="preserve">荷重型式</t>
  </si>
  <si>
    <t xml:space="preserve">集中荷重</t>
  </si>
  <si>
    <t xml:space="preserve">一個點的重量 → 集中荷重；整根梁平均受力 → 均佈荷重</t>
  </si>
  <si>
    <t xml:space="preserve">B / bf (mm)</t>
  </si>
  <si>
    <t xml:space="preserve">絕對上限 (mm)</t>
  </si>
  <si>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Noto Sans CJK SC"/>
        <family val="2"/>
      </rPr>
      <t xml:space="preserve">形鋼</t>
    </r>
  </si>
  <si>
    <t xml:space="preserve">天車梁通常用 I型梁。選天車梁時建議手動選 I型梁</t>
  </si>
  <si>
    <t xml:space="preserve">tw (mm)</t>
  </si>
  <si>
    <t xml:space="preserve">撓度檢核項目</t>
  </si>
  <si>
    <t xml:space="preserve">斷面規格</t>
  </si>
  <si>
    <t xml:space="preserve">H-100x50x5x7</t>
  </si>
  <si>
    <t xml:space="preserve">鋼材尺寸。數字越大 = 越粗越重 = 能撐越多</t>
  </si>
  <si>
    <t xml:space="preserve">tf / t (mm)</t>
  </si>
  <si>
    <t xml:space="preserve">容許撓度 Δa (mm)</t>
  </si>
  <si>
    <t xml:space="preserve">鋼材類別</t>
  </si>
  <si>
    <t xml:space="preserve">CNS SN400B / SM400 (t≤40)</t>
  </si>
  <si>
    <t xml:space="preserve">鋼材材質等級。不確定就選預設的 CNS SN400B</t>
  </si>
  <si>
    <t xml:space="preserve">附加尺寸 (mm)</t>
  </si>
  <si>
    <t xml:space="preserve">說明</t>
  </si>
  <si>
    <t xml:space="preserve">跨距 L (mm)</t>
  </si>
  <si>
    <t xml:space="preserve">兩個支撐點之間的距離（mm），1公尺 = 1000mm</t>
  </si>
  <si>
    <t xml:space="preserve">A (mm²)</t>
  </si>
  <si>
    <t xml:space="preserve">是否納入自重</t>
  </si>
  <si>
    <t xml:space="preserve">是</t>
  </si>
  <si>
    <t xml:space="preserve">把鋼梁自身重量也算進去？通常選「是」</t>
  </si>
  <si>
    <t xml:space="preserve">單位重 (kg/m)</t>
  </si>
  <si>
    <t xml:space="preserve">設計邊界</t>
  </si>
  <si>
    <t xml:space="preserve">附加靜載重 wD,add (kg/m)</t>
  </si>
  <si>
    <t xml:space="preserve">固定在梁上的額外東西重量（如管線），沒有就填 0</t>
  </si>
  <si>
    <t xml:space="preserve">Ix (mm⁴)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</si>
  <si>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本表以單跨梁之強軸彎曲初估為主。</t>
    </r>
  </si>
  <si>
    <t xml:space="preserve">集中荷重 P (kg)</t>
  </si>
  <si>
    <t xml:space="preserve">放在梁上的單點重量（kg），例如一台設備 500kg</t>
  </si>
  <si>
    <t xml:space="preserve">Sx (mm³)</t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</si>
  <si>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容許應力法採 </t>
    </r>
    <r>
      <rPr>
        <sz val="11"/>
        <color theme="1"/>
        <rFont val="Calibri"/>
        <family val="2"/>
        <charset val="1"/>
      </rPr>
      <t xml:space="preserve">Fb = 0.66Fy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Fv = 0.40Fy</t>
    </r>
    <r>
      <rPr>
        <sz val="11"/>
        <color theme="1"/>
        <rFont val="Noto Sans CJK SC"/>
        <family val="2"/>
      </rPr>
      <t xml:space="preserve">。</t>
    </r>
  </si>
  <si>
    <t xml:space="preserve">均佈活載重 wL (kg/m)</t>
  </si>
  <si>
    <t xml:space="preserve">平均分佈在整根梁上的重量（kg/m）</t>
  </si>
  <si>
    <t xml:space="preserve">Aw (mm²)</t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</si>
  <si>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未另檢核側向扭轉挫屈、局部挫屈、疲勞與接頭。</t>
    </r>
  </si>
  <si>
    <t xml:space="preserve">載重倍率</t>
  </si>
  <si>
    <t xml:space="preserve">安全係數。天車梁用 1.25，一般梁用 1.0</t>
  </si>
  <si>
    <t xml:space="preserve">降伏強度 Fy (MPa)</t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</si>
  <si>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天車梁</t>
    </r>
    <r>
      <rPr>
        <sz val="11"/>
        <color theme="1"/>
        <rFont val="Calibri"/>
        <family val="2"/>
        <charset val="1"/>
      </rPr>
      <t xml:space="preserve">(Monorail) </t>
    </r>
    <r>
      <rPr>
        <sz val="11"/>
        <color theme="1"/>
        <rFont val="Noto Sans CJK SC"/>
        <family val="2"/>
      </rPr>
      <t xml:space="preserve">建議以集中荷重模式輸入，倍率可採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。</t>
    </r>
  </si>
  <si>
    <t xml:space="preserve">一般鋼梁｜總載重撓度 L/240</t>
  </si>
  <si>
    <t xml:space="preserve">允許的最大變形標準。不確定就選預設值</t>
  </si>
  <si>
    <t xml:space="preserve">彈性模數 E (MPa)</t>
  </si>
  <si>
    <r>
      <rPr>
        <sz val="11"/>
        <color theme="1"/>
        <rFont val="Calibri"/>
        <family val="2"/>
        <charset val="1"/>
      </rPr>
      <t xml:space="preserve">5. P </t>
    </r>
    <r>
      <rPr>
        <sz val="11"/>
        <color theme="1"/>
        <rFont val="Noto Sans CJK SC"/>
        <family val="2"/>
      </rPr>
      <t xml:space="preserve">型鋼與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型鋼之斷面性質為初估近似值。</t>
    </r>
  </si>
  <si>
    <t xml:space="preserve">容許應力</t>
  </si>
  <si>
    <t xml:space="preserve">容許值計算</t>
  </si>
  <si>
    <t xml:space="preserve">實際荷重檢核</t>
  </si>
  <si>
    <t xml:space="preserve">白話翻譯（看這欄就好！）</t>
  </si>
  <si>
    <t xml:space="preserve">容許彎矩 M_allow (kg·m)</t>
  </si>
  <si>
    <t xml:space="preserve">服務集中荷重 Ps,act (kg)</t>
  </si>
  <si>
    <t xml:space="preserve">容許剪力 V_allow (kg)</t>
  </si>
  <si>
    <t xml:space="preserve">服務均佈活載 qs,act (kg/m)</t>
  </si>
  <si>
    <t xml:space="preserve">固定靜載重 wD (kg/m)</t>
  </si>
  <si>
    <t xml:space="preserve">實際彎矩 M_act (kg·m)</t>
  </si>
  <si>
    <t xml:space="preserve">固定靜載彎矩 MD (kg·m)</t>
  </si>
  <si>
    <t xml:space="preserve">實際剪力 V_act (kg)</t>
  </si>
  <si>
    <t xml:space="preserve">固定靜載剪力 VD (kg)</t>
  </si>
  <si>
    <t xml:space="preserve">實際撓度 Δ_act (mm)</t>
  </si>
  <si>
    <t xml:space="preserve">固定靜載撓度 ΔD (mm)</t>
  </si>
  <si>
    <t xml:space="preserve">彎矩利用率</t>
  </si>
  <si>
    <t xml:space="preserve">剩餘容許彎矩 (kg·m)</t>
  </si>
  <si>
    <t xml:space="preserve">剪力利用率</t>
  </si>
  <si>
    <t xml:space="preserve">剩餘容許剪力 (kg)</t>
  </si>
  <si>
    <t xml:space="preserve">撓度利用率</t>
  </si>
  <si>
    <t xml:space="preserve">剩餘容許撓度 (mm)</t>
  </si>
  <si>
    <t xml:space="preserve">彎曲判定</t>
  </si>
  <si>
    <t xml:space="preserve">剪力判定</t>
  </si>
  <si>
    <t xml:space="preserve">集中荷重容許｜彎矩控制 Ps,M (kg)</t>
  </si>
  <si>
    <t xml:space="preserve">撓度判定</t>
  </si>
  <si>
    <t xml:space="preserve">集中荷重容許｜剪力控制 Ps,V (kg)</t>
  </si>
  <si>
    <t xml:space="preserve">超標項目</t>
  </si>
  <si>
    <t xml:space="preserve">集中荷重容許｜撓度控制 Ps,Δ (kg)</t>
  </si>
  <si>
    <t xml:space="preserve">控制準則</t>
  </si>
  <si>
    <t xml:space="preserve">集中荷重容許｜服務值 Ps (kg)</t>
  </si>
  <si>
    <t xml:space="preserve">總判定</t>
  </si>
  <si>
    <t xml:space="preserve">集中荷重容許｜額定值 Pr (kg)</t>
  </si>
  <si>
    <t xml:space="preserve">均佈活載容許｜彎矩控制 qs,M (kg/m)</t>
  </si>
  <si>
    <t xml:space="preserve">均佈活載容許｜剪力控制 qs,V (kg/m)</t>
  </si>
  <si>
    <t xml:space="preserve">均佈活載容許｜撓度控制 qs,Δ (kg/m)</t>
  </si>
  <si>
    <t xml:space="preserve">均佈活載容許｜服務值 qs (kg/m)</t>
  </si>
  <si>
    <t xml:space="preserve">自動計算方式與公式說明</t>
  </si>
  <si>
    <t xml:space="preserve">服務集中荷重</t>
  </si>
  <si>
    <r>
      <rPr>
        <sz val="11"/>
        <color theme="1"/>
        <rFont val="Calibri"/>
        <family val="2"/>
        <charset val="1"/>
      </rPr>
      <t xml:space="preserve">'= </t>
    </r>
    <r>
      <rPr>
        <sz val="11"/>
        <color theme="1"/>
        <rFont val="Noto Sans CJK SC"/>
        <family val="2"/>
      </rPr>
      <t xml:space="preserve">集中荷重 </t>
    </r>
    <r>
      <rPr>
        <sz val="11"/>
        <color theme="1"/>
        <rFont val="Calibri"/>
        <family val="2"/>
        <charset val="1"/>
      </rPr>
      <t xml:space="preserve">P × </t>
    </r>
    <r>
      <rPr>
        <sz val="11"/>
        <color theme="1"/>
        <rFont val="Noto Sans CJK SC"/>
        <family val="2"/>
      </rPr>
      <t xml:space="preserve">載重倍率</t>
    </r>
  </si>
  <si>
    <t xml:space="preserve">服務均佈活載</t>
  </si>
  <si>
    <r>
      <rPr>
        <sz val="11"/>
        <color theme="1"/>
        <rFont val="Calibri"/>
        <family val="2"/>
        <charset val="1"/>
      </rPr>
      <t xml:space="preserve">'= </t>
    </r>
    <r>
      <rPr>
        <sz val="11"/>
        <color theme="1"/>
        <rFont val="Noto Sans CJK SC"/>
        <family val="2"/>
      </rPr>
      <t xml:space="preserve">均佈活載重 </t>
    </r>
    <r>
      <rPr>
        <sz val="11"/>
        <color theme="1"/>
        <rFont val="Calibri"/>
        <family val="2"/>
        <charset val="1"/>
      </rPr>
      <t xml:space="preserve">wL × </t>
    </r>
    <r>
      <rPr>
        <sz val="11"/>
        <color theme="1"/>
        <rFont val="Noto Sans CJK SC"/>
        <family val="2"/>
      </rPr>
      <t xml:space="preserve">載重倍率</t>
    </r>
  </si>
  <si>
    <t xml:space="preserve">最大彎矩公式</t>
  </si>
  <si>
    <t xml:space="preserve">最大剪力公式</t>
  </si>
  <si>
    <t xml:space="preserve">最大撓度公式</t>
  </si>
  <si>
    <t xml:space="preserve">'= M_allow = Fb × Sx ÷ (9.80665×1000)</t>
  </si>
  <si>
    <t xml:space="preserve">'= V_allow = Fv × Aw ÷ 9.80665</t>
  </si>
  <si>
    <r>
      <rPr>
        <sz val="11"/>
        <color theme="1"/>
        <rFont val="Calibri"/>
        <family val="2"/>
        <charset val="1"/>
      </rPr>
      <t xml:space="preserve">'= Δa = MIN(L/n, </t>
    </r>
    <r>
      <rPr>
        <sz val="11"/>
        <color theme="1"/>
        <rFont val="Noto Sans CJK SC"/>
        <family val="2"/>
      </rPr>
      <t xml:space="preserve">絕對上限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；若為活載重撓度，固定靜載撓度不計入</t>
    </r>
  </si>
  <si>
    <t xml:space="preserve">集中荷重容許服務值</t>
  </si>
  <si>
    <r>
      <rPr>
        <sz val="11"/>
        <color theme="1"/>
        <rFont val="Calibri"/>
        <family val="2"/>
        <charset val="1"/>
      </rPr>
      <t xml:space="preserve">'= MIN(</t>
    </r>
    <r>
      <rPr>
        <sz val="11"/>
        <color theme="1"/>
        <rFont val="Noto Sans CJK SC"/>
        <family val="2"/>
      </rPr>
      <t xml:space="preserve">彎矩控制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剪力控制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撓度控制</t>
    </r>
    <r>
      <rPr>
        <sz val="11"/>
        <color theme="1"/>
        <rFont val="Calibri"/>
        <family val="2"/>
        <charset val="1"/>
      </rPr>
      <t xml:space="preserve">)</t>
    </r>
  </si>
  <si>
    <t xml:space="preserve">集中荷重容許額定值</t>
  </si>
  <si>
    <r>
      <rPr>
        <sz val="11"/>
        <color theme="1"/>
        <rFont val="Calibri"/>
        <family val="2"/>
        <charset val="1"/>
      </rPr>
      <t xml:space="preserve">'= </t>
    </r>
    <r>
      <rPr>
        <sz val="11"/>
        <color theme="1"/>
        <rFont val="Noto Sans CJK SC"/>
        <family val="2"/>
      </rPr>
      <t xml:space="preserve">容許服務值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載重倍率</t>
    </r>
  </si>
  <si>
    <t xml:space="preserve">均佈活載容許值</t>
  </si>
  <si>
    <r>
      <rPr>
        <b val="true"/>
        <sz val="11"/>
        <rFont val="Cambria"/>
        <family val="0"/>
        <charset val="1"/>
      </rPr>
      <t xml:space="preserve">'= H</t>
    </r>
    <r>
      <rPr>
        <b val="true"/>
        <sz val="11"/>
        <rFont val="Noto Sans CJK SC"/>
        <family val="2"/>
      </rPr>
      <t xml:space="preserve">形鋼、</t>
    </r>
    <r>
      <rPr>
        <b val="true"/>
        <sz val="11"/>
        <rFont val="Cambria"/>
        <family val="0"/>
        <charset val="1"/>
      </rPr>
      <t xml:space="preserve">I</t>
    </r>
    <r>
      <rPr>
        <b val="true"/>
        <sz val="11"/>
        <rFont val="Noto Sans CJK SC"/>
        <family val="2"/>
      </rPr>
      <t xml:space="preserve">形梁、槽鋼、</t>
    </r>
    <r>
      <rPr>
        <b val="true"/>
        <sz val="11"/>
        <rFont val="Cambria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型鋼、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型鋼之規格統一以 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表示</t>
    </r>
  </si>
  <si>
    <r>
      <rPr>
        <sz val="11"/>
        <color theme="1"/>
        <rFont val="Calibri"/>
        <family val="2"/>
        <charset val="1"/>
      </rPr>
      <t xml:space="preserve">'= H</t>
    </r>
    <r>
      <rPr>
        <sz val="11"/>
        <color theme="1"/>
        <rFont val="Noto Sans CJK SC"/>
        <family val="2"/>
      </rPr>
      <t xml:space="preserve">形鋼、槽鋼、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型梁、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型鋼、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型鋼之規格統一以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表示</t>
    </r>
  </si>
  <si>
    <t xml:space="preserve">判定邏輯</t>
  </si>
  <si>
    <r>
      <rPr>
        <sz val="10"/>
        <rFont val="Arial"/>
        <family val="2"/>
        <charset val="1"/>
      </rPr>
      <t xml:space="preserve">'=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2"/>
        <charset val="1"/>
      </rPr>
      <t xml:space="preserve">= </t>
    </r>
    <r>
      <rPr>
        <sz val="10"/>
        <rFont val="Noto Sans CJK SC"/>
        <family val="2"/>
      </rPr>
      <t xml:space="preserve">實際值 </t>
    </r>
    <r>
      <rPr>
        <sz val="10"/>
        <rFont val="Arial"/>
        <family val="2"/>
        <charset val="1"/>
      </rPr>
      <t xml:space="preserve">÷ </t>
    </r>
    <r>
      <rPr>
        <sz val="10"/>
        <rFont val="Noto Sans CJK SC"/>
        <family val="2"/>
      </rPr>
      <t xml:space="preserve">容許值；若容許撓度 ≤ </t>
    </r>
    <r>
      <rPr>
        <sz val="10"/>
        <rFont val="Arial"/>
        <family val="2"/>
        <charset val="1"/>
      </rPr>
      <t xml:space="preserve">0 </t>
    </r>
    <r>
      <rPr>
        <sz val="10"/>
        <rFont val="Noto Sans CJK SC"/>
        <family val="2"/>
      </rPr>
      <t xml:space="preserve">且實際撓度 </t>
    </r>
    <r>
      <rPr>
        <sz val="10"/>
        <rFont val="Arial"/>
        <family val="2"/>
        <charset val="1"/>
      </rPr>
      <t xml:space="preserve">&gt; 0</t>
    </r>
    <r>
      <rPr>
        <sz val="10"/>
        <rFont val="Noto Sans CJK SC"/>
        <family val="2"/>
      </rPr>
      <t xml:space="preserve">，撓度判定直接顯示 </t>
    </r>
    <r>
      <rPr>
        <sz val="10"/>
        <rFont val="Arial"/>
        <family val="2"/>
        <charset val="1"/>
      </rPr>
      <t xml:space="preserve">NG</t>
    </r>
    <r>
      <rPr>
        <sz val="10"/>
        <rFont val="Noto Sans CJK SC"/>
        <family val="2"/>
      </rPr>
      <t xml:space="preserve">；任一分項 </t>
    </r>
    <r>
      <rPr>
        <sz val="10"/>
        <rFont val="Arial"/>
        <family val="2"/>
        <charset val="1"/>
      </rPr>
      <t xml:space="preserve">NG </t>
    </r>
    <r>
      <rPr>
        <sz val="10"/>
        <rFont val="Noto Sans CJK SC"/>
        <family val="2"/>
      </rPr>
      <t xml:space="preserve">時，總判定顯示 </t>
    </r>
    <r>
      <rPr>
        <sz val="10"/>
        <rFont val="Arial"/>
        <family val="2"/>
        <charset val="1"/>
      </rPr>
      <t xml:space="preserve">NG</t>
    </r>
  </si>
  <si>
    <t xml:space="preserve">填寫範例區</t>
  </si>
  <si>
    <t xml:space="preserve">以下為常用填寫範例；沒有的荷重項目填 0，同一荷重避免重複計入。輸入與計算結果均以 kg、kg/m 表示。</t>
  </si>
  <si>
    <t xml:space="preserve">結果說明</t>
  </si>
  <si>
    <r>
      <rPr>
        <sz val="10"/>
        <rFont val="Arial"/>
        <family val="2"/>
        <charset val="1"/>
      </rPr>
      <t xml:space="preserve">'= </t>
    </r>
    <r>
      <rPr>
        <sz val="10"/>
        <rFont val="Noto Sans CJK SC"/>
        <family val="2"/>
      </rPr>
      <t xml:space="preserve">控制準則為彎曲、剪力、撓度三者中利用率最大者；超標項目以舊版 </t>
    </r>
    <r>
      <rPr>
        <sz val="10"/>
        <rFont val="Arial"/>
        <family val="2"/>
        <charset val="1"/>
      </rPr>
      <t xml:space="preserve">Excel </t>
    </r>
    <r>
      <rPr>
        <sz val="10"/>
        <rFont val="Noto Sans CJK SC"/>
        <family val="2"/>
      </rPr>
      <t xml:space="preserve">相容公式列出 </t>
    </r>
    <r>
      <rPr>
        <sz val="10"/>
        <rFont val="Arial"/>
        <family val="2"/>
        <charset val="1"/>
      </rPr>
      <t xml:space="preserve">NG </t>
    </r>
    <r>
      <rPr>
        <sz val="10"/>
        <rFont val="Noto Sans CJK SC"/>
        <family val="2"/>
      </rPr>
      <t xml:space="preserve">之檢核項目</t>
    </r>
  </si>
  <si>
    <t xml:space="preserve">範例一｜一般鋼梁</t>
  </si>
  <si>
    <t xml:space="preserve">適用：一般平台梁、走道梁、支撐小梁</t>
  </si>
  <si>
    <t xml:space="preserve">項目</t>
  </si>
  <si>
    <t xml:space="preserve">建議填寫</t>
  </si>
  <si>
    <t xml:space="preserve">選一般鋼梁</t>
  </si>
  <si>
    <t xml:space="preserve">常見兩端支承</t>
  </si>
  <si>
    <t xml:space="preserve">均佈荷重</t>
  </si>
  <si>
    <t xml:space="preserve">以均佈活載重為主</t>
  </si>
  <si>
    <t xml:space="preserve">靜載重</t>
  </si>
  <si>
    <t xml:space="preserve">有就填；沒有填0</t>
  </si>
  <si>
    <t xml:space="preserve">例如鋼板、固定附屬物</t>
  </si>
  <si>
    <t xml:space="preserve">均佈活載重</t>
  </si>
  <si>
    <t xml:space="preserve">填實際值</t>
  </si>
  <si>
    <t xml:space="preserve">例如平台使用載重換算之線載重</t>
  </si>
  <si>
    <t xml:space="preserve">0</t>
  </si>
  <si>
    <t xml:space="preserve">若無局部重物可填 0</t>
  </si>
  <si>
    <t xml:space="preserve">撓度基準</t>
  </si>
  <si>
    <t xml:space="preserve">一般整體撓度控制</t>
  </si>
  <si>
    <t xml:space="preserve">範例二｜設備支撐梁</t>
  </si>
  <si>
    <t xml:space="preserve">適用：設備底座反力、局部設備支撐</t>
  </si>
  <si>
    <t xml:space="preserve">設備支撐梁仍屬一般鋼梁檢核</t>
  </si>
  <si>
    <t xml:space="preserve">依實際支承條件調整</t>
  </si>
  <si>
    <t xml:space="preserve">設備反力多為集中荷重</t>
  </si>
  <si>
    <t xml:space="preserve">固定管線、鋼板、附屬件</t>
  </si>
  <si>
    <t xml:space="preserve">若無平均分布活載可填 0</t>
  </si>
  <si>
    <t xml:space="preserve">填設備反力</t>
  </si>
  <si>
    <t xml:space="preserve">輸入單點或最不利反力</t>
  </si>
  <si>
    <t xml:space="preserve">依設備用途選擇</t>
  </si>
  <si>
    <t xml:space="preserve">例如熱交換器／轉動設備</t>
  </si>
  <si>
    <t xml:space="preserve">範例三｜天車梁（Monorail）</t>
  </si>
  <si>
    <t xml:space="preserve">適用：單軌吊車、電動吊車梁</t>
  </si>
  <si>
    <t xml:space="preserve">天車梁(Monorail)</t>
  </si>
  <si>
    <r>
      <rPr>
        <sz val="11"/>
        <color theme="1"/>
        <rFont val="Calibri"/>
        <family val="2"/>
        <charset val="1"/>
      </rPr>
      <t xml:space="preserve">Monorail </t>
    </r>
    <r>
      <rPr>
        <sz val="11"/>
        <color theme="1"/>
        <rFont val="Noto Sans CJK SC"/>
        <family val="2"/>
      </rPr>
      <t xml:space="preserve">與天車梁共用邏輯</t>
    </r>
  </si>
  <si>
    <t xml:space="preserve">常見天車梁型式</t>
  </si>
  <si>
    <t xml:space="preserve">吊重通常視為集中荷重</t>
  </si>
  <si>
    <t xml:space="preserve">例如軌道、固定附屬件</t>
  </si>
  <si>
    <t xml:space="preserve">多數天車梁可填 0</t>
  </si>
  <si>
    <t xml:space="preserve">填吊重或輪壓</t>
  </si>
  <si>
    <t xml:space="preserve">依簡化方式輸入最不利值</t>
  </si>
  <si>
    <t xml:space="preserve">1.25</t>
  </si>
  <si>
    <t xml:space="preserve">常用服務荷重檢核倍率</t>
  </si>
  <si>
    <t xml:space="preserve">天車梁｜單軌天車 L/800</t>
  </si>
  <si>
    <t xml:space="preserve">依系統選單軌或雙軌</t>
  </si>
  <si>
    <t xml:space="preserve">鋼柱 容許軸力與梁柱組合檢核表</t>
  </si>
  <si>
    <t xml:space="preserve">💡 藍字格子 = 你要填的  |  灰底 = 自動計算  |  粉紅底 = 判定結果  |  橘底 = 白話翻譯</t>
  </si>
  <si>
    <t xml:space="preserve">▼ 輸入條件（填藍色格子）</t>
  </si>
  <si>
    <t xml:space="preserve">斷面性質（自動帶入）</t>
  </si>
  <si>
    <t xml:space="preserve">白話說明</t>
  </si>
  <si>
    <t xml:space="preserve">Fy</t>
  </si>
  <si>
    <t xml:space="preserve">E(MPa)</t>
  </si>
  <si>
    <t xml:space="preserve">選鋼材截面形狀，最常用 H形鋼</t>
  </si>
  <si>
    <t xml:space="preserve">H-200x200x8x12</t>
  </si>
  <si>
    <t xml:space="preserve">選柱子尺寸。數字越大越粗壯</t>
  </si>
  <si>
    <t xml:space="preserve">材質等級，不確定就用預設</t>
  </si>
  <si>
    <t xml:space="preserve">柱淨高 H (mm)</t>
  </si>
  <si>
    <t xml:space="preserve">tf (mm)</t>
  </si>
  <si>
    <t xml:space="preserve">柱子高度（mm），3公尺 = 3000</t>
  </si>
  <si>
    <t xml:space="preserve">有效長度係數 K</t>
  </si>
  <si>
    <t xml:space="preserve">不確定就填 1.0（最安全算法）</t>
  </si>
  <si>
    <t xml:space="preserve">軸力 P (kg)</t>
  </si>
  <si>
    <t xml:space="preserve">從上面壓下來的重量（全部加總）。
例：樓板反力+梁反力+設備重量
不確定就先估大一點</t>
  </si>
  <si>
    <t xml:space="preserve">從上面壓下來的全部重量（公斤）</t>
  </si>
  <si>
    <t xml:space="preserve">彎矩 Mx (kg·m)</t>
  </si>
  <si>
    <t xml:space="preserve">有「橫向推力」或「偏心」才填。
算法：力×距離。例：風力500kg在3m處→500×3=1500
沒有側向力就填 0</t>
  </si>
  <si>
    <t xml:space="preserve">側向推力造成的彎矩，沒有就填 0</t>
  </si>
  <si>
    <t xml:space="preserve">彎矩 My (kg·m)</t>
  </si>
  <si>
    <t xml:space="preserve">弱方向彎矩。大部分填 0。
只有雙向受力才需要填</t>
  </si>
  <si>
    <t xml:space="preserve">弱方向彎矩，通常填 0</t>
  </si>
  <si>
    <t xml:space="preserve">Iy (mm⁴)</t>
  </si>
  <si>
    <t xml:space="preserve">把柱子自重算進去？通常選「是」</t>
  </si>
  <si>
    <t xml:space="preserve">rx (mm)</t>
  </si>
  <si>
    <t xml:space="preserve">ry (mm)</t>
  </si>
  <si>
    <t xml:space="preserve">材料常數</t>
  </si>
  <si>
    <t xml:space="preserve">▼ 計算結果</t>
  </si>
  <si>
    <t xml:space="preserve">白話翻譯（看這欄！）</t>
  </si>
  <si>
    <t xml:space="preserve">自重 (kg)</t>
  </si>
  <si>
    <t xml:space="preserve">總壓力 (kg)</t>
  </si>
  <si>
    <t xml:space="preserve">有效細長比 KL/r</t>
  </si>
  <si>
    <t xml:space="preserve">容許壓應力 Fa (MPa)</t>
  </si>
  <si>
    <t xml:space="preserve">容許軸力 Pa (kg)</t>
  </si>
  <si>
    <t xml:space="preserve">軸力利用率</t>
  </si>
  <si>
    <t xml:space="preserve">組合應力比</t>
  </si>
  <si>
    <t xml:space="preserve">▼ 最終判定</t>
  </si>
  <si>
    <t xml:space="preserve">軸力判定</t>
  </si>
  <si>
    <t xml:space="preserve">組合應力判定</t>
  </si>
  <si>
    <t xml:space="preserve">控制模式</t>
  </si>
  <si>
    <t xml:space="preserve">最大容許軸力 (kg)</t>
  </si>
  <si>
    <t xml:space="preserve">格柵 (Steel Grating) 容許荷重檢核表</t>
  </si>
  <si>
    <t xml:space="preserve">💡 藍字格子 = 你要填的  |  灰底 = 自動算  |  橘底 = 白話翻譯</t>
  </si>
  <si>
    <t xml:space="preserve">▼ 輸入條件</t>
  </si>
  <si>
    <t xml:space="preserve">格柵型號</t>
  </si>
  <si>
    <r>
      <rPr>
        <sz val="11"/>
        <color rgb="FF0000FF"/>
        <rFont val="Cambria"/>
        <family val="0"/>
        <charset val="1"/>
      </rPr>
      <t xml:space="preserve">25×3 @30 </t>
    </r>
    <r>
      <rPr>
        <sz val="11"/>
        <color rgb="FF0000FF"/>
        <rFont val="Noto Sans CJK SC"/>
        <family val="2"/>
      </rPr>
      <t xml:space="preserve">溝距</t>
    </r>
    <r>
      <rPr>
        <sz val="11"/>
        <color rgb="FF0000FF"/>
        <rFont val="Cambria"/>
        <family val="0"/>
        <charset val="1"/>
      </rPr>
      <t xml:space="preserve">200</t>
    </r>
  </si>
  <si>
    <t xml:space="preserve">從下拉選單選取格柵規格（h×t @間距 溝距）</t>
  </si>
  <si>
    <t xml:space="preserve">承載條高 h (mm)</t>
  </si>
  <si>
    <t xml:space="preserve">自動帶入（由型號決定）</t>
  </si>
  <si>
    <t xml:space="preserve">承載條厚 t (mm)</t>
  </si>
  <si>
    <t xml:space="preserve">承載條間距 c/c (mm)</t>
  </si>
  <si>
    <t xml:space="preserve">格柵下方兩根支撐梁的距離（mm）</t>
  </si>
  <si>
    <t xml:space="preserve">兩端搭著 → 簡支梁</t>
  </si>
  <si>
    <t xml:space="preserve">容許撓度 L/n</t>
  </si>
  <si>
    <t xml:space="preserve">允許彎多少。走道一般填 200</t>
  </si>
  <si>
    <t xml:space="preserve">一個人站上去多重（kg），一般 75-100</t>
  </si>
  <si>
    <t xml:space="preserve">均佈荷重 w (kg/m²)</t>
  </si>
  <si>
    <t xml:space="preserve">每平方公尺放多少公斤，走道一般 300-500</t>
  </si>
  <si>
    <t xml:space="preserve">集中荷重分佈寬 (mm)</t>
  </si>
  <si>
    <t xml:space="preserve">腳踩面積寬度，用 225mm（鞋底）</t>
  </si>
  <si>
    <t xml:space="preserve">鋼材 Fy (MPa)</t>
  </si>
  <si>
    <t xml:space="preserve">材料強度，一般格柵用 235</t>
  </si>
  <si>
    <t xml:space="preserve">▼ 承載條斷面（自動算）</t>
  </si>
  <si>
    <t xml:space="preserve">單條慣性矩 I (mm⁴)</t>
  </si>
  <si>
    <t xml:space="preserve">單條斷面模數 S (mm³)</t>
  </si>
  <si>
    <t xml:space="preserve">單條面積 A (mm²)</t>
  </si>
  <si>
    <t xml:space="preserve">Fb (MPa)</t>
  </si>
  <si>
    <t xml:space="preserve">Fv (MPa)</t>
  </si>
  <si>
    <t xml:space="preserve">容許彎矩/條 (kg·mm)</t>
  </si>
  <si>
    <t xml:space="preserve">容許剪力/條 (kg)</t>
  </si>
  <si>
    <t xml:space="preserve">容許撓度 (mm)</t>
  </si>
  <si>
    <t xml:space="preserve">每公尺承載條數</t>
  </si>
  <si>
    <t xml:space="preserve">▼ 均佈荷重檢核</t>
  </si>
  <si>
    <t xml:space="preserve">白話翻譯</t>
  </si>
  <si>
    <t xml:space="preserve">▼ 集中荷重檢核</t>
  </si>
  <si>
    <t xml:space="preserve">受力條數</t>
  </si>
  <si>
    <t xml:space="preserve">腳踩範圍內有幾根承載條</t>
  </si>
  <si>
    <t xml:space="preserve">單條分擔力 (kg)</t>
  </si>
  <si>
    <t xml:space="preserve">均佈荷重判定</t>
  </si>
  <si>
    <t xml:space="preserve">集中荷重判定</t>
  </si>
  <si>
    <t xml:space="preserve">均佈控制模式</t>
  </si>
  <si>
    <t xml:space="preserve">集中控制模式</t>
  </si>
  <si>
    <t xml:space="preserve">最大均佈容許 (kg/m²)</t>
  </si>
  <si>
    <t xml:space="preserve">最大集中容許 (kg)</t>
  </si>
  <si>
    <r>
      <rPr>
        <b val="true"/>
        <sz val="14"/>
        <color rgb="FFFFFFFF"/>
        <rFont val="Cambria"/>
        <family val="0"/>
        <charset val="1"/>
      </rPr>
      <t xml:space="preserve">Composite Deck </t>
    </r>
    <r>
      <rPr>
        <b val="true"/>
        <sz val="14"/>
        <color rgb="FFFFFFFF"/>
        <rFont val="Noto Sans CJK SC"/>
        <family val="2"/>
      </rPr>
      <t xml:space="preserve">樓板 — 使用階段荷重檢核表</t>
    </r>
  </si>
  <si>
    <t xml:space="preserve">💡 藍字 = 你要填  |  灰底 = 自動算  |  橘底 = 白話翻譯</t>
  </si>
  <si>
    <t xml:space="preserve">▼ 鋼浪板 Deck</t>
  </si>
  <si>
    <r>
      <rPr>
        <b val="true"/>
        <sz val="11"/>
        <rFont val="Cambria"/>
        <family val="0"/>
        <charset val="1"/>
      </rPr>
      <t xml:space="preserve">Deck </t>
    </r>
    <r>
      <rPr>
        <b val="true"/>
        <sz val="11"/>
        <rFont val="Noto Sans CJK SC"/>
        <family val="2"/>
      </rPr>
      <t xml:space="preserve">型號</t>
    </r>
  </si>
  <si>
    <t xml:space="preserve">3.0W-1.2mm</t>
  </si>
  <si>
    <t xml:space="preserve">鋼浪板型號。波越高越大號 = 越強</t>
  </si>
  <si>
    <t xml:space="preserve">波高 hr (mm)</t>
  </si>
  <si>
    <t xml:space="preserve">Deck As (mm²/m)</t>
  </si>
  <si>
    <r>
      <rPr>
        <b val="true"/>
        <sz val="11"/>
        <rFont val="Cambria"/>
        <family val="0"/>
        <charset val="1"/>
      </rPr>
      <t xml:space="preserve">Deck </t>
    </r>
    <r>
      <rPr>
        <b val="true"/>
        <sz val="11"/>
        <rFont val="Noto Sans CJK SC"/>
        <family val="2"/>
      </rPr>
      <t xml:space="preserve">自重 </t>
    </r>
    <r>
      <rPr>
        <b val="true"/>
        <sz val="11"/>
        <rFont val="Cambria"/>
        <family val="0"/>
        <charset val="1"/>
      </rPr>
      <t xml:space="preserve">(kg/m²)</t>
    </r>
  </si>
  <si>
    <t xml:space="preserve">Deck fy (MPa)</t>
  </si>
  <si>
    <r>
      <rPr>
        <i val="true"/>
        <sz val="10"/>
        <color rgb="FF795548"/>
        <rFont val="Cambria"/>
        <family val="0"/>
        <charset val="1"/>
      </rPr>
      <t xml:space="preserve">Deck </t>
    </r>
    <r>
      <rPr>
        <i val="true"/>
        <sz val="10"/>
        <color rgb="FF795548"/>
        <rFont val="Noto Sans CJK SC"/>
        <family val="2"/>
      </rPr>
      <t xml:space="preserve">鋼板的強度，一般用 </t>
    </r>
    <r>
      <rPr>
        <i val="true"/>
        <sz val="10"/>
        <color rgb="FF795548"/>
        <rFont val="Cambria"/>
        <family val="0"/>
        <charset val="1"/>
      </rPr>
      <t xml:space="preserve">250</t>
    </r>
  </si>
  <si>
    <r>
      <rPr>
        <b val="true"/>
        <sz val="11"/>
        <rFont val="Noto Sans CJK SC"/>
        <family val="2"/>
      </rPr>
      <t xml:space="preserve">底層鋼筋 </t>
    </r>
    <r>
      <rPr>
        <b val="true"/>
        <sz val="11"/>
        <rFont val="Cambria"/>
        <family val="0"/>
        <charset val="1"/>
      </rPr>
      <t xml:space="preserve">As (mm²/m)</t>
    </r>
  </si>
  <si>
    <r>
      <rPr>
        <i val="true"/>
        <sz val="10"/>
        <color rgb="FF795548"/>
        <rFont val="Noto Sans CJK SC"/>
        <family val="2"/>
      </rPr>
      <t xml:space="preserve">額外底筋面積。沒有填 </t>
    </r>
    <r>
      <rPr>
        <i val="true"/>
        <sz val="10"/>
        <color rgb="FF795548"/>
        <rFont val="Cambria"/>
        <family val="0"/>
        <charset val="1"/>
      </rPr>
      <t xml:space="preserve">0</t>
    </r>
    <r>
      <rPr>
        <i val="true"/>
        <sz val="10"/>
        <color rgb="FF795548"/>
        <rFont val="Noto Sans CJK SC"/>
        <family val="2"/>
      </rPr>
      <t xml:space="preserve">。
</t>
    </r>
    <r>
      <rPr>
        <i val="true"/>
        <sz val="10"/>
        <color rgb="FF795548"/>
        <rFont val="Cambria"/>
        <family val="0"/>
        <charset val="1"/>
      </rPr>
      <t xml:space="preserve">#3@200≈355, #4@200≈633, #4@150≈845, #5@200≈990</t>
    </r>
  </si>
  <si>
    <t xml:space="preserve">▼ 混凝土</t>
  </si>
  <si>
    <t xml:space="preserve">混凝土 f'c (psi)</t>
  </si>
  <si>
    <t xml:space="preserve">混凝土強度（psi）。常用 3000/4000/5000 psi</t>
  </si>
  <si>
    <t xml:space="preserve">波頂以上淨厚 tc (mm)</t>
  </si>
  <si>
    <t xml:space="preserve">浪板最高點以上灌多厚混凝土（mm）</t>
  </si>
  <si>
    <t xml:space="preserve">混凝土密度 (kg/m³)</t>
  </si>
  <si>
    <t xml:space="preserve">總版厚 (mm)</t>
  </si>
  <si>
    <t xml:space="preserve">混凝土自重 (kg/m²)</t>
  </si>
  <si>
    <r>
      <rPr>
        <b val="true"/>
        <sz val="11"/>
        <rFont val="Cambria"/>
        <family val="0"/>
        <charset val="1"/>
      </rPr>
      <t xml:space="preserve">f'c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(MPa)</t>
    </r>
  </si>
  <si>
    <r>
      <rPr>
        <i val="true"/>
        <sz val="10"/>
        <color rgb="FF795548"/>
        <rFont val="Cambria"/>
        <family val="0"/>
        <charset val="1"/>
      </rPr>
      <t xml:space="preserve">1 MPa = 145.038 psi</t>
    </r>
    <r>
      <rPr>
        <i val="true"/>
        <sz val="10"/>
        <color rgb="FF795548"/>
        <rFont val="Noto Sans CJK SC"/>
        <family val="2"/>
      </rPr>
      <t xml:space="preserve">，自動換算</t>
    </r>
  </si>
  <si>
    <t xml:space="preserve">▼ 電焊鋼絲網 (WWM)</t>
  </si>
  <si>
    <t xml:space="preserve">鋪在混凝土裡面防裂用的鋼絲網</t>
  </si>
  <si>
    <r>
      <rPr>
        <b val="true"/>
        <sz val="11"/>
        <rFont val="Cambria"/>
        <family val="0"/>
        <charset val="1"/>
      </rPr>
      <t xml:space="preserve">WWM </t>
    </r>
    <r>
      <rPr>
        <b val="true"/>
        <sz val="11"/>
        <rFont val="Noto Sans CJK SC"/>
        <family val="2"/>
      </rPr>
      <t xml:space="preserve">規格</t>
    </r>
  </si>
  <si>
    <t xml:space="preserve">φ4.0@150×150</t>
  </si>
  <si>
    <t xml:space="preserve">選鋼絲網規格。φ=鋼絲粗細，@=間距</t>
  </si>
  <si>
    <t xml:space="preserve">WWM As (mm²/m)</t>
  </si>
  <si>
    <t xml:space="preserve">WWM fy (MPa)</t>
  </si>
  <si>
    <r>
      <rPr>
        <b val="true"/>
        <sz val="11"/>
        <rFont val="Cambria"/>
        <family val="0"/>
        <charset val="1"/>
      </rPr>
      <t xml:space="preserve">WWM </t>
    </r>
    <r>
      <rPr>
        <b val="true"/>
        <sz val="11"/>
        <rFont val="Noto Sans CJK SC"/>
        <family val="2"/>
      </rPr>
      <t xml:space="preserve">保護層 </t>
    </r>
    <r>
      <rPr>
        <b val="true"/>
        <sz val="11"/>
        <rFont val="Cambria"/>
        <family val="0"/>
        <charset val="1"/>
      </rPr>
      <t xml:space="preserve">(mm)</t>
    </r>
  </si>
  <si>
    <t xml:space="preserve">鋼絲網離版頂面多深（mm）</t>
  </si>
  <si>
    <r>
      <rPr>
        <b val="true"/>
        <sz val="11"/>
        <rFont val="Noto Sans CJK SC"/>
        <family val="2"/>
      </rPr>
      <t xml:space="preserve">底筋 </t>
    </r>
    <r>
      <rPr>
        <b val="true"/>
        <sz val="11"/>
        <rFont val="Cambria"/>
        <family val="0"/>
        <charset val="1"/>
      </rPr>
      <t xml:space="preserve">fy (MPa)</t>
    </r>
  </si>
  <si>
    <r>
      <rPr>
        <i val="true"/>
        <sz val="10"/>
        <color rgb="FF795548"/>
        <rFont val="Noto Sans CJK SC"/>
        <family val="2"/>
      </rPr>
      <t xml:space="preserve">底筋鋼材強度。</t>
    </r>
    <r>
      <rPr>
        <i val="true"/>
        <sz val="10"/>
        <color rgb="FF795548"/>
        <rFont val="Cambria"/>
        <family val="0"/>
        <charset val="1"/>
      </rPr>
      <t xml:space="preserve">SD280=280, SD420=420</t>
    </r>
    <r>
      <rPr>
        <i val="true"/>
        <sz val="10"/>
        <color rgb="FF795548"/>
        <rFont val="Noto Sans CJK SC"/>
        <family val="2"/>
      </rPr>
      <t xml:space="preserve">（最常用）。
無底筋時此欄不影響計算</t>
    </r>
  </si>
  <si>
    <t xml:space="preserve">▼ 荷重與跨度</t>
  </si>
  <si>
    <t xml:space="preserve">兩根支撐梁之間距離（mm）</t>
  </si>
  <si>
    <t xml:space="preserve">單跨</t>
  </si>
  <si>
    <t xml:space="preserve">單跨 = 兩端搭著；連續 = 中間還有支撐</t>
  </si>
  <si>
    <t xml:space="preserve">活載重 wL (kg/m²)</t>
  </si>
  <si>
    <t xml:space="preserve">樓板上面要放多重（kg/m²）。辦公 250，倉庫 500-1000</t>
  </si>
  <si>
    <t xml:space="preserve">附加靜載 wD_add (kg/m²)</t>
  </si>
  <si>
    <t xml:space="preserve">地磚、管線等固定載重（kg/m²）</t>
  </si>
  <si>
    <t xml:space="preserve">強度折減 φ</t>
  </si>
  <si>
    <t xml:space="preserve">總靜載 wD (kg/m²)</t>
  </si>
  <si>
    <t xml:space="preserve">設計載重 wu (kg/m²)</t>
  </si>
  <si>
    <r>
      <rPr>
        <i val="true"/>
        <sz val="10"/>
        <color rgb="FF795548"/>
        <rFont val="Cambria"/>
        <family val="0"/>
        <charset val="1"/>
      </rPr>
      <t xml:space="preserve">📌 1.2×</t>
    </r>
    <r>
      <rPr>
        <i val="true"/>
        <sz val="10"/>
        <color rgb="FF795548"/>
        <rFont val="Noto Sans CJK SC"/>
        <family val="2"/>
      </rPr>
      <t xml:space="preserve">靜載 </t>
    </r>
    <r>
      <rPr>
        <i val="true"/>
        <sz val="10"/>
        <color rgb="FF795548"/>
        <rFont val="Cambria"/>
        <family val="0"/>
        <charset val="1"/>
      </rPr>
      <t xml:space="preserve">+ 1.6×</t>
    </r>
    <r>
      <rPr>
        <i val="true"/>
        <sz val="10"/>
        <color rgb="FF795548"/>
        <rFont val="Noto Sans CJK SC"/>
        <family val="2"/>
      </rPr>
      <t xml:space="preserve">活載 的安全組合</t>
    </r>
  </si>
  <si>
    <t xml:space="preserve">正彎矩強度 φMn+ (kg·m/m)</t>
  </si>
  <si>
    <t xml:space="preserve">負彎矩強度 φMn- (kg·m/m)</t>
  </si>
  <si>
    <t xml:space="preserve">剪力強度 φVn (kg/m)</t>
  </si>
  <si>
    <t xml:space="preserve">正彎矩 Mu+ (kg·m/m)</t>
  </si>
  <si>
    <t xml:space="preserve">負彎矩 Mu- (kg·m/m)</t>
  </si>
  <si>
    <t xml:space="preserve">剪力 Vu (kg/m)</t>
  </si>
  <si>
    <t xml:space="preserve">撓度 Δ (mm)</t>
  </si>
  <si>
    <t xml:space="preserve">▼ 利用率</t>
  </si>
  <si>
    <t xml:space="preserve">正彎矩利用率</t>
  </si>
  <si>
    <t xml:space="preserve">最大容許活載 (kg/m²)</t>
  </si>
  <si>
    <t xml:space="preserve">構件綜合檢核總表 — 一次看完所有構件是否安全</t>
  </si>
  <si>
    <t xml:space="preserve">No.</t>
  </si>
  <si>
    <t xml:space="preserve">構件</t>
  </si>
  <si>
    <t xml:space="preserve">斷面/型號</t>
  </si>
  <si>
    <t xml:space="preserve">彎矩
利用率</t>
  </si>
  <si>
    <t xml:space="preserve">剪力
利用率</t>
  </si>
  <si>
    <t xml:space="preserve">撓度
利用率</t>
  </si>
  <si>
    <t xml:space="preserve">最大
利用率</t>
  </si>
  <si>
    <t xml:space="preserve">判定</t>
  </si>
  <si>
    <t xml:space="preserve">最大容許
荷重</t>
  </si>
  <si>
    <t xml:space="preserve">鋼梁</t>
  </si>
  <si>
    <t xml:space="preserve">鋼柱</t>
  </si>
  <si>
    <t xml:space="preserve">格柵(均佈)</t>
  </si>
  <si>
    <t xml:space="preserve">格柵(集中)</t>
  </si>
  <si>
    <r>
      <rPr>
        <sz val="11"/>
        <color theme="1"/>
        <rFont val="Calibri"/>
        <family val="2"/>
        <charset val="1"/>
      </rPr>
      <t xml:space="preserve">Deck</t>
    </r>
    <r>
      <rPr>
        <sz val="11"/>
        <color theme="1"/>
        <rFont val="Noto Sans CJK SC"/>
        <family val="2"/>
      </rPr>
      <t xml:space="preserve">樓板</t>
    </r>
  </si>
  <si>
    <t xml:space="preserve">▼ 整體評估</t>
  </si>
  <si>
    <t xml:space="preserve">最危險構件</t>
  </si>
  <si>
    <t xml:space="preserve">最高利用率</t>
  </si>
  <si>
    <t xml:space="preserve">整體判定</t>
  </si>
  <si>
    <t xml:space="preserve">Fy (MPa)</t>
  </si>
  <si>
    <t xml:space="preserve">E (MPa)</t>
  </si>
  <si>
    <t xml:space="preserve">Fy (kg/cm²)</t>
  </si>
  <si>
    <t xml:space="preserve">常數</t>
  </si>
  <si>
    <t xml:space="preserve">值</t>
  </si>
  <si>
    <t xml:space="preserve">名稱範圍</t>
  </si>
  <si>
    <t xml:space="preserve">一般型鋼、鋼板</t>
  </si>
  <si>
    <t xml:space="preserve">N_per_kg</t>
  </si>
  <si>
    <r>
      <rPr>
        <sz val="10"/>
        <rFont val="Arial"/>
        <family val="2"/>
        <charset val="1"/>
      </rPr>
      <t xml:space="preserve">kg </t>
    </r>
    <r>
      <rPr>
        <sz val="10"/>
        <rFont val="Noto Sans CJK SC"/>
        <family val="2"/>
      </rPr>
      <t xml:space="preserve">近似力值換算為 </t>
    </r>
    <r>
      <rPr>
        <sz val="10"/>
        <rFont val="Arial"/>
        <family val="2"/>
        <charset val="1"/>
      </rPr>
      <t xml:space="preserve">N</t>
    </r>
    <r>
      <rPr>
        <sz val="10"/>
        <rFont val="Noto Sans CJK SC"/>
        <family val="2"/>
      </rPr>
      <t xml:space="preserve">：</t>
    </r>
    <r>
      <rPr>
        <sz val="10"/>
        <rFont val="Arial"/>
        <family val="2"/>
        <charset val="1"/>
      </rPr>
      <t xml:space="preserve">1 kgf = 9.80665 N</t>
    </r>
  </si>
  <si>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形鋼</t>
    </r>
  </si>
  <si>
    <t xml:space="preserve">Shape_H</t>
  </si>
  <si>
    <t xml:space="preserve">CNS SN400B / SM400 (t&gt;40)</t>
  </si>
  <si>
    <r>
      <rPr>
        <sz val="11"/>
        <color theme="1"/>
        <rFont val="Calibri"/>
        <family val="2"/>
        <charset val="1"/>
      </rPr>
      <t xml:space="preserve">Fb</t>
    </r>
    <r>
      <rPr>
        <sz val="11"/>
        <color theme="1"/>
        <rFont val="Noto Sans CJK SC"/>
        <family val="2"/>
      </rPr>
      <t xml:space="preserve">係數</t>
    </r>
  </si>
  <si>
    <t xml:space="preserve">容許彎曲應力 = 0.66Fy</t>
  </si>
  <si>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形梁</t>
    </r>
  </si>
  <si>
    <t xml:space="preserve">Shape_I</t>
  </si>
  <si>
    <t xml:space="preserve">CNS SN490B</t>
  </si>
  <si>
    <r>
      <rPr>
        <sz val="11"/>
        <color theme="1"/>
        <rFont val="Calibri"/>
        <family val="2"/>
        <charset val="1"/>
      </rPr>
      <t xml:space="preserve">BH</t>
    </r>
    <r>
      <rPr>
        <sz val="11"/>
        <color theme="1"/>
        <rFont val="Noto Sans CJK SC"/>
        <family val="2"/>
      </rPr>
      <t xml:space="preserve">型鋼</t>
    </r>
  </si>
  <si>
    <r>
      <rPr>
        <sz val="11"/>
        <color theme="1"/>
        <rFont val="Calibri"/>
        <family val="2"/>
        <charset val="1"/>
      </rPr>
      <t xml:space="preserve">Fv</t>
    </r>
    <r>
      <rPr>
        <sz val="11"/>
        <color theme="1"/>
        <rFont val="Noto Sans CJK SC"/>
        <family val="2"/>
      </rPr>
      <t xml:space="preserve">係數</t>
    </r>
  </si>
  <si>
    <t xml:space="preserve">容許剪應力 = 0.40Fy</t>
  </si>
  <si>
    <t xml:space="preserve">槽鋼</t>
  </si>
  <si>
    <t xml:space="preserve">Shape_C</t>
  </si>
  <si>
    <t xml:space="preserve">ASTM A572 Gr.50</t>
  </si>
  <si>
    <t xml:space="preserve">密度換算(kg/m)/(mm²)</t>
  </si>
  <si>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型鋼</t>
    </r>
  </si>
  <si>
    <t xml:space="preserve">Shape_P</t>
  </si>
  <si>
    <r>
      <rPr>
        <sz val="11"/>
        <color theme="1"/>
        <rFont val="Calibri"/>
        <family val="2"/>
        <charset val="1"/>
      </rPr>
      <t xml:space="preserve">A36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型鋼、角鋼）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</si>
  <si>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型鋼、角鋼</t>
    </r>
  </si>
  <si>
    <t xml:space="preserve">A(mm²)×0.00785=kg/m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</si>
  <si>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型鋼</t>
    </r>
  </si>
  <si>
    <t xml:space="preserve">Shape_L</t>
  </si>
  <si>
    <r>
      <rPr>
        <sz val="10"/>
        <rFont val="Arial"/>
        <family val="2"/>
        <charset val="1"/>
      </rPr>
      <t xml:space="preserve">BOX</t>
    </r>
    <r>
      <rPr>
        <sz val="10"/>
        <rFont val="Noto Sans CJK SC"/>
        <family val="2"/>
      </rPr>
      <t xml:space="preserve">柱</t>
    </r>
  </si>
  <si>
    <t xml:space="preserve">Shape_BOX</t>
  </si>
  <si>
    <t xml:space="preserve">備註</t>
  </si>
  <si>
    <t xml:space="preserve">資料來源</t>
  </si>
  <si>
    <t xml:space="preserve">以理想化 H形鋼/槽鋼 斷面矩形近似，未含圓角。</t>
  </si>
  <si>
    <t xml:space="preserve">斷面選項依使用者提供之常用鋼構截圖整理。</t>
  </si>
  <si>
    <t xml:space="preserve">H-100x100x6x8</t>
  </si>
  <si>
    <t xml:space="preserve">H-125x60x6x8</t>
  </si>
  <si>
    <t xml:space="preserve">H-125x125x6.5x9</t>
  </si>
  <si>
    <t xml:space="preserve">H-150x75x5x7</t>
  </si>
  <si>
    <t xml:space="preserve">H-150x100x6x9</t>
  </si>
  <si>
    <t xml:space="preserve">H-150x150x7x10</t>
  </si>
  <si>
    <t xml:space="preserve">H-175x90x5x8</t>
  </si>
  <si>
    <t xml:space="preserve">H-175x175x7.5x11</t>
  </si>
  <si>
    <t xml:space="preserve">H-200x100x4.5x7</t>
  </si>
  <si>
    <t xml:space="preserve">H-200x100x5.5x8</t>
  </si>
  <si>
    <t xml:space="preserve">H-200x150x6x9</t>
  </si>
  <si>
    <t xml:space="preserve">H-200x200x12x12</t>
  </si>
  <si>
    <t xml:space="preserve">H-250x125x6x9</t>
  </si>
  <si>
    <t xml:space="preserve">H-250x125x8x9</t>
  </si>
  <si>
    <t xml:space="preserve">H-250x175x7x11</t>
  </si>
  <si>
    <t xml:space="preserve">H-250x250x9x14</t>
  </si>
  <si>
    <t xml:space="preserve">H-250x250x14x14</t>
  </si>
  <si>
    <t xml:space="preserve">H-300x150x5.5x8</t>
  </si>
  <si>
    <t xml:space="preserve">H-300x150x6.5x9</t>
  </si>
  <si>
    <t xml:space="preserve">H-300x200x8x12</t>
  </si>
  <si>
    <t xml:space="preserve">H-300x300x12x12</t>
  </si>
  <si>
    <t xml:space="preserve">H-300x300x10x15</t>
  </si>
  <si>
    <t xml:space="preserve">H-300x300x15x15</t>
  </si>
  <si>
    <t xml:space="preserve">H-300x300x11x17</t>
  </si>
  <si>
    <t xml:space="preserve">H-300x300x13x21</t>
  </si>
  <si>
    <t xml:space="preserve">H-300x300x17x24</t>
  </si>
  <si>
    <t xml:space="preserve">H-300x300x20x28</t>
  </si>
  <si>
    <t xml:space="preserve">H-350x175x6x9</t>
  </si>
  <si>
    <t xml:space="preserve">H-350x175x7x11</t>
  </si>
  <si>
    <t xml:space="preserve">H-350x250x8x12</t>
  </si>
  <si>
    <t xml:space="preserve">H-350x250x9x14</t>
  </si>
  <si>
    <t xml:space="preserve">H-350x250x11x19</t>
  </si>
  <si>
    <t xml:space="preserve">H-350x250x15x22</t>
  </si>
  <si>
    <t xml:space="preserve">H-350x250x17x26</t>
  </si>
  <si>
    <t xml:space="preserve">H-350x350x13x13</t>
  </si>
  <si>
    <t xml:space="preserve">H-350x350x10x16</t>
  </si>
  <si>
    <t xml:space="preserve">H-350x350x16x16</t>
  </si>
  <si>
    <t xml:space="preserve">H-350x350x12x19</t>
  </si>
  <si>
    <t xml:space="preserve">H-350x350x19x19</t>
  </si>
  <si>
    <t xml:space="preserve">H-350x350x16x24</t>
  </si>
  <si>
    <t xml:space="preserve">H-350x350x18x28</t>
  </si>
  <si>
    <t xml:space="preserve">H-350x350x20x33</t>
  </si>
  <si>
    <t xml:space="preserve">H-400x200x7x11</t>
  </si>
  <si>
    <t xml:space="preserve">H-400x200x8x13</t>
  </si>
  <si>
    <t xml:space="preserve">H-400x300x9x14</t>
  </si>
  <si>
    <t xml:space="preserve">H-400x300x10x16</t>
  </si>
  <si>
    <t xml:space="preserve">H-400x300x14x21</t>
  </si>
  <si>
    <t xml:space="preserve">H-400x300x18x26</t>
  </si>
  <si>
    <t xml:space="preserve">H-400x300x20x30</t>
  </si>
  <si>
    <t xml:space="preserve">H-400x400x15x15</t>
  </si>
  <si>
    <t xml:space="preserve">H-400x400x11x18</t>
  </si>
  <si>
    <t xml:space="preserve">H-400x400x18x18</t>
  </si>
  <si>
    <t xml:space="preserve">H-400x400x13x21</t>
  </si>
  <si>
    <t xml:space="preserve">H-400x400x21x21</t>
  </si>
  <si>
    <t xml:space="preserve">H-400x400x18x28</t>
  </si>
  <si>
    <t xml:space="preserve">H-400x400x20x35</t>
  </si>
  <si>
    <t xml:space="preserve">H-400x400x30x50</t>
  </si>
  <si>
    <t xml:space="preserve">H-400x400x45x70</t>
  </si>
  <si>
    <t xml:space="preserve">H-450x200x8x12</t>
  </si>
  <si>
    <t xml:space="preserve">H-450x200x9x14</t>
  </si>
  <si>
    <t xml:space="preserve">H-450x200x10x17</t>
  </si>
  <si>
    <t xml:space="preserve">H-450x200x14x22</t>
  </si>
  <si>
    <t xml:space="preserve">H-450x200x17x28</t>
  </si>
  <si>
    <t xml:space="preserve">H-450x300x10x15</t>
  </si>
  <si>
    <t xml:space="preserve">H-450x300x11x18</t>
  </si>
  <si>
    <t xml:space="preserve">H-450x300x13x21</t>
  </si>
  <si>
    <t xml:space="preserve">H-450x300x15x23</t>
  </si>
  <si>
    <t xml:space="preserve">H-450x300x17x27</t>
  </si>
  <si>
    <t xml:space="preserve">H-450x300x19x32</t>
  </si>
  <si>
    <t xml:space="preserve">H-500x200x9x14</t>
  </si>
  <si>
    <t xml:space="preserve">H-500x200x10x16</t>
  </si>
  <si>
    <t xml:space="preserve">H-500x200x11x19</t>
  </si>
  <si>
    <t xml:space="preserve">H-500x200x12x22</t>
  </si>
  <si>
    <t xml:space="preserve">H-500x200x15x25</t>
  </si>
  <si>
    <t xml:space="preserve">H-500x200x18x30</t>
  </si>
  <si>
    <t xml:space="preserve">H-500x200x20x34</t>
  </si>
  <si>
    <t xml:space="preserve">H-500x200x25x40</t>
  </si>
  <si>
    <t xml:space="preserve">H-500x300x11x15</t>
  </si>
  <si>
    <t xml:space="preserve">H-500x300x11x18</t>
  </si>
  <si>
    <t xml:space="preserve">H-500x300x13x21</t>
  </si>
  <si>
    <t xml:space="preserve">H-500x300x15x24</t>
  </si>
  <si>
    <t xml:space="preserve">H-500x300x17x29</t>
  </si>
  <si>
    <t xml:space="preserve">H-500x300x21x33</t>
  </si>
  <si>
    <t xml:space="preserve">H-500x300x25x40</t>
  </si>
  <si>
    <t xml:space="preserve">H-500x500x15x20</t>
  </si>
  <si>
    <t xml:space="preserve">H-500x500x15x25</t>
  </si>
  <si>
    <t xml:space="preserve">H-500x500x20x25</t>
  </si>
  <si>
    <t xml:space="preserve">H-500x500x25x25</t>
  </si>
  <si>
    <t xml:space="preserve">H-600x200x10x15</t>
  </si>
  <si>
    <t xml:space="preserve">H-600x200x11x17</t>
  </si>
  <si>
    <t xml:space="preserve">H-600x200x12x20</t>
  </si>
  <si>
    <t xml:space="preserve">H-600x200x13x23</t>
  </si>
  <si>
    <t xml:space="preserve">H-600x200x16x26</t>
  </si>
  <si>
    <t xml:space="preserve">H-600x200x18x30</t>
  </si>
  <si>
    <t xml:space="preserve">H-600x200x20x34</t>
  </si>
  <si>
    <t xml:space="preserve">H-600x200x25x40</t>
  </si>
  <si>
    <t xml:space="preserve">H-600x300x12x17</t>
  </si>
  <si>
    <t xml:space="preserve">H-600x300x12x20</t>
  </si>
  <si>
    <t xml:space="preserve">H-600x300x14x23</t>
  </si>
  <si>
    <t xml:space="preserve">H-600x300x16x26</t>
  </si>
  <si>
    <t xml:space="preserve">H-600x300x18x30</t>
  </si>
  <si>
    <t xml:space="preserve">H-600x300x20x34</t>
  </si>
  <si>
    <t xml:space="preserve">H-600x300x24x40</t>
  </si>
  <si>
    <t xml:space="preserve">H-700x300x13x20</t>
  </si>
  <si>
    <t xml:space="preserve">H-700x300x13x24</t>
  </si>
  <si>
    <t xml:space="preserve">H-700x300x15x28</t>
  </si>
  <si>
    <t xml:space="preserve">H-700x300x19x30</t>
  </si>
  <si>
    <t xml:space="preserve">H-700x300x21x33</t>
  </si>
  <si>
    <t xml:space="preserve">H-700x300x24x40</t>
  </si>
  <si>
    <t xml:space="preserve">H-800x300x14x22</t>
  </si>
  <si>
    <t xml:space="preserve">H-800x300x14x26</t>
  </si>
  <si>
    <t xml:space="preserve">H-800x300x18x30</t>
  </si>
  <si>
    <t xml:space="preserve">H-800x300x20x34</t>
  </si>
  <si>
    <t xml:space="preserve">H-800x300x22x40</t>
  </si>
  <si>
    <t xml:space="preserve">H-900x300x15x23</t>
  </si>
  <si>
    <t xml:space="preserve">H-900x300x16x28</t>
  </si>
  <si>
    <t xml:space="preserve">H-900x300x18x34</t>
  </si>
  <si>
    <t xml:space="preserve">H-900x300x19x37</t>
  </si>
  <si>
    <t xml:space="preserve">H-100x75x5x8</t>
  </si>
  <si>
    <t xml:space="preserve">H-125x75x5.5x9.5</t>
  </si>
  <si>
    <t xml:space="preserve">H-150x75x5.5x9.5</t>
  </si>
  <si>
    <t xml:space="preserve">H-150x125x8.5x14</t>
  </si>
  <si>
    <t xml:space="preserve">H-180x100x6x10</t>
  </si>
  <si>
    <t xml:space="preserve">H-200x100x7x10</t>
  </si>
  <si>
    <t xml:space="preserve">H-200x150x9x16</t>
  </si>
  <si>
    <t xml:space="preserve">H-250x125x7.5x12.5</t>
  </si>
  <si>
    <t xml:space="preserve">H-250x125x10x19</t>
  </si>
  <si>
    <t xml:space="preserve">H-300x150x8x13</t>
  </si>
  <si>
    <t xml:space="preserve">H-300x150x10x18.5</t>
  </si>
  <si>
    <t xml:space="preserve">H-300x150x11.5x22</t>
  </si>
  <si>
    <t xml:space="preserve">H-350x150x9x15</t>
  </si>
  <si>
    <t xml:space="preserve">H-350x150x12x24</t>
  </si>
  <si>
    <t xml:space="preserve">H-400x150x10x18</t>
  </si>
  <si>
    <t xml:space="preserve">H-400x150x12.5x25</t>
  </si>
  <si>
    <t xml:space="preserve">H-450x175x11x20</t>
  </si>
  <si>
    <t xml:space="preserve">H-450x175x13x26</t>
  </si>
  <si>
    <t xml:space="preserve">H-600x190x13x25</t>
  </si>
  <si>
    <t xml:space="preserve">H-600x190x16x35</t>
  </si>
  <si>
    <t xml:space="preserve">C-75x40x5x7</t>
  </si>
  <si>
    <t xml:space="preserve">C-100x50x5x7.5</t>
  </si>
  <si>
    <t xml:space="preserve">C-125x65x6x8</t>
  </si>
  <si>
    <t xml:space="preserve">C-150x75x6.5x10</t>
  </si>
  <si>
    <t xml:space="preserve">C-150x75x9x12.5</t>
  </si>
  <si>
    <t xml:space="preserve">C-180x75x7x10.5</t>
  </si>
  <si>
    <t xml:space="preserve">C-200x80x7.5x11</t>
  </si>
  <si>
    <t xml:space="preserve">C-200x90x8x13.5</t>
  </si>
  <si>
    <t xml:space="preserve">C-250x90x9x13</t>
  </si>
  <si>
    <t xml:space="preserve">C-250x90x11x14.5</t>
  </si>
  <si>
    <t xml:space="preserve">C-300x90x9x13</t>
  </si>
  <si>
    <t xml:space="preserve">C-300x90x10x15.5</t>
  </si>
  <si>
    <t xml:space="preserve">C-300x90x12x16</t>
  </si>
  <si>
    <t xml:space="preserve">C-380x100x10.5x16</t>
  </si>
  <si>
    <t xml:space="preserve">C-380x100x13x16.5</t>
  </si>
  <si>
    <t xml:space="preserve">C-380x100x13x20</t>
  </si>
  <si>
    <t xml:space="preserve">P-60x30x10x1.6</t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</si>
  <si>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型以帶唇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形冷彎斷面近似。</t>
    </r>
  </si>
  <si>
    <t xml:space="preserve">P-60x30x10x2</t>
  </si>
  <si>
    <t xml:space="preserve">P-60x30x10x2.3</t>
  </si>
  <si>
    <t xml:space="preserve">P-70x40x25x1.6</t>
  </si>
  <si>
    <t xml:space="preserve">P-75x35x15x2.3</t>
  </si>
  <si>
    <t xml:space="preserve">P-75x45x15x1.6</t>
  </si>
  <si>
    <t xml:space="preserve">P-75x45x15x2</t>
  </si>
  <si>
    <t xml:space="preserve">P-75x45x15x2.3</t>
  </si>
  <si>
    <t xml:space="preserve">P-90x45x20x1.6</t>
  </si>
  <si>
    <t xml:space="preserve">P-90x45x20x2.3</t>
  </si>
  <si>
    <t xml:space="preserve">P-90x45x20x3.2</t>
  </si>
  <si>
    <t xml:space="preserve">P-100x50x20x1.6</t>
  </si>
  <si>
    <t xml:space="preserve">P-100x50x20x2</t>
  </si>
  <si>
    <t xml:space="preserve">P-100x50x20x2.3</t>
  </si>
  <si>
    <t xml:space="preserve">P-100x50x20x2.8</t>
  </si>
  <si>
    <t xml:space="preserve">P-100x50x20x3.2</t>
  </si>
  <si>
    <t xml:space="preserve">P-100x50x20x4</t>
  </si>
  <si>
    <t xml:space="preserve">P-100x50x20x4.5</t>
  </si>
  <si>
    <t xml:space="preserve">P-120x40x20x3.2</t>
  </si>
  <si>
    <t xml:space="preserve">P-120x60x20x2.3</t>
  </si>
  <si>
    <t xml:space="preserve">P-120x60x20x3.2</t>
  </si>
  <si>
    <t xml:space="preserve">P-120x60x25x4.5</t>
  </si>
  <si>
    <t xml:space="preserve">P-125x50x20x2.3</t>
  </si>
  <si>
    <t xml:space="preserve">P-125x50x20x3.2</t>
  </si>
  <si>
    <t xml:space="preserve">P-125x50x20x4</t>
  </si>
  <si>
    <t xml:space="preserve">P-125x50x20x4.5</t>
  </si>
  <si>
    <t xml:space="preserve">P-150x50x20x2.3</t>
  </si>
  <si>
    <t xml:space="preserve">P-150x50x20x3.2</t>
  </si>
  <si>
    <t xml:space="preserve">P-150x50x20x4.5</t>
  </si>
  <si>
    <t xml:space="preserve">P-150x65x20x2.3</t>
  </si>
  <si>
    <t xml:space="preserve">P-150x65x20x3.2</t>
  </si>
  <si>
    <t xml:space="preserve">P-150x65x20x4</t>
  </si>
  <si>
    <t xml:space="preserve">P-150x75x20x3.2</t>
  </si>
  <si>
    <t xml:space="preserve">P-150x75x20x4</t>
  </si>
  <si>
    <t xml:space="preserve">P-150x75x20x4.5</t>
  </si>
  <si>
    <t xml:space="preserve">P-150x75x25x3.2</t>
  </si>
  <si>
    <t xml:space="preserve">P-150x75x25x4</t>
  </si>
  <si>
    <t xml:space="preserve">P-150x75x25x4.5</t>
  </si>
  <si>
    <t xml:space="preserve">P-200x75x20x3.2</t>
  </si>
  <si>
    <t xml:space="preserve">P-200x75x20x4</t>
  </si>
  <si>
    <t xml:space="preserve">P-200x75x20x4.5</t>
  </si>
  <si>
    <t xml:space="preserve">P-200x75x25x3.2</t>
  </si>
  <si>
    <t xml:space="preserve">P-200x75x25x4</t>
  </si>
  <si>
    <t xml:space="preserve">P-200x75x25x4.5</t>
  </si>
  <si>
    <t xml:space="preserve">P-250x75x25x4.5</t>
  </si>
  <si>
    <t xml:space="preserve">L-25x25x3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</si>
  <si>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型以單角鋼一腿垂直擺放近似；僅供初估。</t>
    </r>
  </si>
  <si>
    <t xml:space="preserve">L-30x30x3</t>
  </si>
  <si>
    <t xml:space="preserve">L-40x40x3</t>
  </si>
  <si>
    <t xml:space="preserve">L-40x40x5</t>
  </si>
  <si>
    <t xml:space="preserve">L-45x45x4</t>
  </si>
  <si>
    <t xml:space="preserve">L-45x45x5</t>
  </si>
  <si>
    <t xml:space="preserve">L-50x50x4</t>
  </si>
  <si>
    <t xml:space="preserve">L-50x50x5</t>
  </si>
  <si>
    <t xml:space="preserve">L-50x50x6</t>
  </si>
  <si>
    <t xml:space="preserve">L-60x60x4</t>
  </si>
  <si>
    <t xml:space="preserve">L-60x60x5</t>
  </si>
  <si>
    <t xml:space="preserve">L-65x65x5</t>
  </si>
  <si>
    <t xml:space="preserve">L-65x65x6</t>
  </si>
  <si>
    <t xml:space="preserve">L-65x65x8</t>
  </si>
  <si>
    <t xml:space="preserve">L-70x70x6</t>
  </si>
  <si>
    <t xml:space="preserve">L-75x75x6</t>
  </si>
  <si>
    <t xml:space="preserve">L-75x75x9</t>
  </si>
  <si>
    <t xml:space="preserve">L-75x75x12</t>
  </si>
  <si>
    <t xml:space="preserve">L-80x80x6</t>
  </si>
  <si>
    <t xml:space="preserve">L-90x90x6</t>
  </si>
  <si>
    <t xml:space="preserve">L-90x90x7</t>
  </si>
  <si>
    <t xml:space="preserve">L-90x90x10</t>
  </si>
  <si>
    <t xml:space="preserve">L-90x90x13</t>
  </si>
  <si>
    <t xml:space="preserve">L-100x100x7</t>
  </si>
  <si>
    <t xml:space="preserve">L-100x100x10</t>
  </si>
  <si>
    <t xml:space="preserve">L-100x100x13</t>
  </si>
  <si>
    <t xml:space="preserve">L-120x120x8</t>
  </si>
  <si>
    <t xml:space="preserve">L-130x130x9</t>
  </si>
  <si>
    <t xml:space="preserve">L-130x130x12</t>
  </si>
  <si>
    <t xml:space="preserve">L-130x130x15</t>
  </si>
  <si>
    <t xml:space="preserve">L-150x150x12</t>
  </si>
  <si>
    <t xml:space="preserve">L-150x150x15</t>
  </si>
  <si>
    <t xml:space="preserve">L-150x150x19</t>
  </si>
  <si>
    <t xml:space="preserve">L-175x175x12</t>
  </si>
  <si>
    <t xml:space="preserve">L-175x175x15</t>
  </si>
  <si>
    <t xml:space="preserve">L-200x200x15</t>
  </si>
  <si>
    <t xml:space="preserve">L-200x200x20</t>
  </si>
  <si>
    <t xml:space="preserve">L-200x200x25</t>
  </si>
  <si>
    <t xml:space="preserve">L-250x250x25</t>
  </si>
  <si>
    <t xml:space="preserve">L-250x250x35</t>
  </si>
  <si>
    <t xml:space="preserve">I-100x75x5x8</t>
  </si>
  <si>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型梁</t>
    </r>
  </si>
  <si>
    <t xml:space="preserve">R1=7, R2=3.5</t>
  </si>
  <si>
    <t xml:space="preserve">依常用 I 型梁斷面表建檔。</t>
  </si>
  <si>
    <t xml:space="preserve">使用者提供常用 I 型梁斷面資料表。</t>
  </si>
  <si>
    <t xml:space="preserve">I-125x75x5.5x9.5</t>
  </si>
  <si>
    <t xml:space="preserve">R1=9, R2=4.5</t>
  </si>
  <si>
    <t xml:space="preserve">I-150x75x5.5x9.5</t>
  </si>
  <si>
    <t xml:space="preserve">I-150x125x8.5x14</t>
  </si>
  <si>
    <t xml:space="preserve">R1=13, R2=6.5</t>
  </si>
  <si>
    <t xml:space="preserve">I-180x100x6x10</t>
  </si>
  <si>
    <t xml:space="preserve">R1=10, R2=5</t>
  </si>
  <si>
    <t xml:space="preserve">I-200x100x7x10</t>
  </si>
  <si>
    <t xml:space="preserve">I-200x150x9x16</t>
  </si>
  <si>
    <t xml:space="preserve">R1=15, R2=7.5</t>
  </si>
  <si>
    <t xml:space="preserve">I-250x125x7.5x12.5</t>
  </si>
  <si>
    <t xml:space="preserve">R1=12, R2=6</t>
  </si>
  <si>
    <t xml:space="preserve">I-250x125x10x19</t>
  </si>
  <si>
    <t xml:space="preserve">R1=21, R2=10.5</t>
  </si>
  <si>
    <t xml:space="preserve">I-300x150x8x13</t>
  </si>
  <si>
    <t xml:space="preserve">I-300x150x10x18.5</t>
  </si>
  <si>
    <t xml:space="preserve">R1=19, R2=9.5</t>
  </si>
  <si>
    <t xml:space="preserve">I-300x150x11.5x22</t>
  </si>
  <si>
    <t xml:space="preserve">R1=23, R2=11.5</t>
  </si>
  <si>
    <t xml:space="preserve">I-350x150x9x15</t>
  </si>
  <si>
    <t xml:space="preserve">I-350x150x12x24</t>
  </si>
  <si>
    <t xml:space="preserve">R1=25, R2=12.5</t>
  </si>
  <si>
    <t xml:space="preserve">I-400x150x10x18</t>
  </si>
  <si>
    <t xml:space="preserve">R1=17, R2=8.5</t>
  </si>
  <si>
    <t xml:space="preserve">I-400x150x12.5x25</t>
  </si>
  <si>
    <t xml:space="preserve">R1=27, R2=13.5</t>
  </si>
  <si>
    <t xml:space="preserve">I-450x175x11x20</t>
  </si>
  <si>
    <t xml:space="preserve">I-450x175x13x26</t>
  </si>
  <si>
    <t xml:space="preserve">I-600x190x13x25</t>
  </si>
  <si>
    <t xml:space="preserve">I-600x190x16x35</t>
  </si>
  <si>
    <t xml:space="preserve">R1=38, R2=19</t>
  </si>
  <si>
    <t xml:space="preserve">BOX-100x100x3.2</t>
  </si>
  <si>
    <t xml:space="preserve">方管柱 BOX 理想化矩形斷面</t>
  </si>
  <si>
    <t xml:space="preserve">BOX-100x100x4.5</t>
  </si>
  <si>
    <t xml:space="preserve">BOX-100x100x6</t>
  </si>
  <si>
    <t xml:space="preserve">BOX-125x125x3.2</t>
  </si>
  <si>
    <t xml:space="preserve">BOX-125x125x4.5</t>
  </si>
  <si>
    <t xml:space="preserve">BOX-125x125x6</t>
  </si>
  <si>
    <t xml:space="preserve">BOX-150x150x3.2</t>
  </si>
  <si>
    <t xml:space="preserve">BOX-150x150x4.5</t>
  </si>
  <si>
    <t xml:space="preserve">BOX-150x150x6</t>
  </si>
  <si>
    <t xml:space="preserve">BOX-150x150x9</t>
  </si>
  <si>
    <t xml:space="preserve">BOX-175x175x4.5</t>
  </si>
  <si>
    <t xml:space="preserve">BOX-175x175x6</t>
  </si>
  <si>
    <t xml:space="preserve">BOX-175x175x9</t>
  </si>
  <si>
    <t xml:space="preserve">BOX-200x200x6</t>
  </si>
  <si>
    <t xml:space="preserve">BOX-200x200x8</t>
  </si>
  <si>
    <t xml:space="preserve">BOX-200x200x9</t>
  </si>
  <si>
    <t xml:space="preserve">BOX-200x200x12</t>
  </si>
  <si>
    <t xml:space="preserve">BOX-250x250x6</t>
  </si>
  <si>
    <t xml:space="preserve">BOX-250x250x9</t>
  </si>
  <si>
    <t xml:space="preserve">BOX-250x250x12</t>
  </si>
  <si>
    <t xml:space="preserve">BOX-250x250x16</t>
  </si>
  <si>
    <t xml:space="preserve">BOX-300x300x9</t>
  </si>
  <si>
    <t xml:space="preserve">BOX-300x300x12</t>
  </si>
  <si>
    <t xml:space="preserve">BOX-300x300x16</t>
  </si>
  <si>
    <t xml:space="preserve">BOX-300x300x19</t>
  </si>
  <si>
    <t xml:space="preserve">BOX-350x350x12</t>
  </si>
  <si>
    <t xml:space="preserve">BOX-350x350x16</t>
  </si>
  <si>
    <t xml:space="preserve">BOX-350x350x19</t>
  </si>
  <si>
    <t xml:space="preserve">BOX-400x400x12</t>
  </si>
  <si>
    <t xml:space="preserve">BOX-400x400x16</t>
  </si>
  <si>
    <t xml:space="preserve">BOX-400x400x19</t>
  </si>
  <si>
    <t xml:space="preserve">BOX-400x400x22</t>
  </si>
  <si>
    <t xml:space="preserve">選項</t>
  </si>
  <si>
    <t xml:space="preserve">絕對上限(mm)</t>
  </si>
  <si>
    <t xml:space="preserve">總載重撓度</t>
  </si>
  <si>
    <t xml:space="preserve">容許撓度 Δa = L/240</t>
  </si>
  <si>
    <t xml:space="preserve">依使用者提供公司規範與鋼構實務慣用表示法整理。</t>
  </si>
  <si>
    <t xml:space="preserve">一般鋼梁｜活載重撓度 L/360</t>
  </si>
  <si>
    <t xml:space="preserve">活載重撓度</t>
  </si>
  <si>
    <t xml:space="preserve">容許撓度 Δa = L/360</t>
  </si>
  <si>
    <t xml:space="preserve">平台梁／走道梁｜L/360 且 ≤ 25 mm</t>
  </si>
  <si>
    <t xml:space="preserve">平台梁／走道梁</t>
  </si>
  <si>
    <t xml:space="preserve">取 Min(L/360, 25 mm)</t>
  </si>
  <si>
    <t xml:space="preserve">格柵板/花紋鋼板/面板｜≤ 6 mm</t>
  </si>
  <si>
    <t xml:space="preserve">面板</t>
  </si>
  <si>
    <t xml:space="preserve">容許撓度 Δa = 6 mm</t>
  </si>
  <si>
    <t xml:space="preserve">天車梁(Monorail)｜簡支單軌 L/800</t>
  </si>
  <si>
    <t xml:space="preserve">服務性撓度</t>
  </si>
  <si>
    <t xml:space="preserve">依單軌天車梁簡支條件</t>
  </si>
  <si>
    <t xml:space="preserve">天車梁｜簡支雙軌 L/1000</t>
  </si>
  <si>
    <t xml:space="preserve">天車梁</t>
  </si>
  <si>
    <t xml:space="preserve">依雙軌天車梁簡支條件</t>
  </si>
  <si>
    <t xml:space="preserve">天車梁(Monorail)｜懸臂梁 L/500</t>
  </si>
  <si>
    <t xml:space="preserve">依單軌天車懸臂梁條件</t>
  </si>
  <si>
    <t xml:space="preserve">設備支承梁｜熱交換器 L/400 且 ≤ 21 mm</t>
  </si>
  <si>
    <t xml:space="preserve">設備支承梁</t>
  </si>
  <si>
    <t xml:space="preserve">取 Min(L/400, 21 mm)</t>
  </si>
  <si>
    <t xml:space="preserve">設備支承梁｜高塔槽體 L/600 且 ≤ 21 mm</t>
  </si>
  <si>
    <t xml:space="preserve">取 Min(L/600, 21 mm)</t>
  </si>
  <si>
    <t xml:space="preserve">設備支承梁｜轉動或振動設備 L/900 且 ≤ 21 mm</t>
  </si>
  <si>
    <t xml:space="preserve">取 Min(L/900, 21 mm)</t>
  </si>
  <si>
    <t xml:space="preserve">設備支承梁｜其他設備 L/400 且 ≤ 21 mm</t>
  </si>
  <si>
    <t xml:space="preserve">管線支承梁｜與管線直交 L/300 且 ≤ 25 mm</t>
  </si>
  <si>
    <t xml:space="preserve">管線支承梁</t>
  </si>
  <si>
    <t xml:space="preserve">取 Min(L/300, 25 mm)</t>
  </si>
  <si>
    <t xml:space="preserve">管線支承梁｜與管線平行 L/600 且 ≤ 25 mm</t>
  </si>
  <si>
    <t xml:space="preserve">取 Min(L/600, 25 mm)</t>
  </si>
  <si>
    <r>
      <rPr>
        <sz val="10"/>
        <rFont val="Arial"/>
        <family val="2"/>
        <charset val="1"/>
      </rPr>
      <t xml:space="preserve">H</t>
    </r>
    <r>
      <rPr>
        <sz val="10"/>
        <rFont val="Noto Sans CJK SC"/>
        <family val="2"/>
      </rPr>
      <t xml:space="preserve">形鋼</t>
    </r>
  </si>
  <si>
    <r>
      <rPr>
        <sz val="10"/>
        <rFont val="Arial"/>
        <family val="2"/>
        <charset val="1"/>
      </rPr>
      <t xml:space="preserve">I</t>
    </r>
    <r>
      <rPr>
        <sz val="10"/>
        <rFont val="Noto Sans CJK SC"/>
        <family val="2"/>
      </rPr>
      <t xml:space="preserve">型梁</t>
    </r>
  </si>
  <si>
    <r>
      <rPr>
        <sz val="10"/>
        <rFont val="Arial"/>
        <family val="2"/>
        <charset val="1"/>
      </rPr>
      <t xml:space="preserve">P</t>
    </r>
    <r>
      <rPr>
        <sz val="10"/>
        <rFont val="Noto Sans CJK SC"/>
        <family val="2"/>
      </rPr>
      <t xml:space="preserve">型鋼</t>
    </r>
  </si>
  <si>
    <r>
      <rPr>
        <sz val="10"/>
        <rFont val="Arial"/>
        <family val="2"/>
        <charset val="1"/>
      </rPr>
      <t xml:space="preserve">L</t>
    </r>
    <r>
      <rPr>
        <sz val="10"/>
        <rFont val="Noto Sans CJK SC"/>
        <family val="2"/>
      </rPr>
      <t xml:space="preserve">型鋼</t>
    </r>
  </si>
  <si>
    <t xml:space="preserve">橫條間距 (mm)</t>
  </si>
  <si>
    <t xml:space="preserve">自重 (kg/m²)</t>
  </si>
  <si>
    <r>
      <rPr>
        <sz val="10"/>
        <rFont val="Arial"/>
        <family val="2"/>
        <charset val="1"/>
      </rPr>
      <t xml:space="preserve">20×3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</si>
  <si>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輕型水溝蓋</t>
  </si>
  <si>
    <r>
      <rPr>
        <sz val="10"/>
        <rFont val="Arial"/>
        <family val="2"/>
        <charset val="1"/>
      </rPr>
      <t xml:space="preserve">25×3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</si>
  <si>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一般水溝蓋</t>
  </si>
  <si>
    <r>
      <rPr>
        <sz val="10"/>
        <rFont val="Arial"/>
        <family val="2"/>
        <charset val="1"/>
      </rPr>
      <t xml:space="preserve">25×3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</si>
  <si>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t xml:space="preserve">一般水溝蓋(寬溝距)</t>
  </si>
  <si>
    <r>
      <rPr>
        <sz val="10"/>
        <rFont val="Arial"/>
        <family val="2"/>
        <charset val="1"/>
      </rPr>
      <t xml:space="preserve">25×3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</si>
  <si>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r>
      <rPr>
        <sz val="10"/>
        <rFont val="Arial"/>
        <family val="2"/>
        <charset val="1"/>
      </rPr>
      <t xml:space="preserve">25×5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</si>
  <si>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重型水溝蓋</t>
  </si>
  <si>
    <r>
      <rPr>
        <sz val="10"/>
        <rFont val="Arial"/>
        <family val="2"/>
        <charset val="1"/>
      </rPr>
      <t xml:space="preserve">25×5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</si>
  <si>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t xml:space="preserve">重型水溝蓋(寬溝距)</t>
  </si>
  <si>
    <r>
      <rPr>
        <sz val="10"/>
        <rFont val="Arial"/>
        <family val="2"/>
        <charset val="1"/>
      </rPr>
      <t xml:space="preserve">25×5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</si>
  <si>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r>
      <rPr>
        <sz val="10"/>
        <rFont val="Arial"/>
        <family val="2"/>
        <charset val="1"/>
      </rPr>
      <t xml:space="preserve">30×3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</si>
  <si>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t xml:space="preserve">標準平台格柵</t>
  </si>
  <si>
    <r>
      <rPr>
        <sz val="10"/>
        <rFont val="Arial"/>
        <family val="2"/>
        <charset val="1"/>
      </rPr>
      <t xml:space="preserve">30×5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</si>
  <si>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r>
      <rPr>
        <sz val="10"/>
        <rFont val="Arial"/>
        <family val="2"/>
        <charset val="1"/>
      </rPr>
      <t xml:space="preserve">30×5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</si>
  <si>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r>
      <rPr>
        <sz val="10"/>
        <rFont val="Arial"/>
        <family val="2"/>
        <charset val="1"/>
      </rPr>
      <t xml:space="preserve">32×5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</si>
  <si>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加強平台格柵</t>
  </si>
  <si>
    <r>
      <rPr>
        <sz val="10"/>
        <rFont val="Arial"/>
        <family val="2"/>
        <charset val="1"/>
      </rPr>
      <t xml:space="preserve">32×5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</si>
  <si>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r>
      <rPr>
        <sz val="10"/>
        <rFont val="Arial"/>
        <family val="2"/>
        <charset val="1"/>
      </rPr>
      <t xml:space="preserve">40×5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</si>
  <si>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重載平台格柵</t>
  </si>
  <si>
    <r>
      <rPr>
        <sz val="10"/>
        <rFont val="Arial"/>
        <family val="2"/>
        <charset val="1"/>
      </rPr>
      <t xml:space="preserve">40×5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200</t>
    </r>
  </si>
  <si>
    <r>
      <rPr>
        <sz val="10"/>
        <rFont val="Arial"/>
        <family val="2"/>
        <charset val="1"/>
      </rPr>
      <t xml:space="preserve">40×6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</si>
  <si>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超重載格柵</t>
  </si>
  <si>
    <r>
      <rPr>
        <sz val="10"/>
        <rFont val="Arial"/>
        <family val="2"/>
        <charset val="1"/>
      </rPr>
      <t xml:space="preserve">50×5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</si>
  <si>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車道格柵</t>
  </si>
  <si>
    <r>
      <rPr>
        <sz val="10"/>
        <rFont val="Arial"/>
        <family val="2"/>
        <charset val="1"/>
      </rPr>
      <t xml:space="preserve">50×5 @40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</si>
  <si>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r>
      <rPr>
        <sz val="10"/>
        <rFont val="Arial"/>
        <family val="2"/>
        <charset val="1"/>
      </rPr>
      <t xml:space="preserve">50×6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</si>
  <si>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重車格柵</t>
  </si>
  <si>
    <r>
      <rPr>
        <sz val="10"/>
        <rFont val="Arial"/>
        <family val="2"/>
        <charset val="1"/>
      </rPr>
      <t xml:space="preserve">50×8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</si>
  <si>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超重車格柵</t>
  </si>
  <si>
    <r>
      <rPr>
        <sz val="10"/>
        <rFont val="Arial"/>
        <family val="2"/>
        <charset val="1"/>
      </rPr>
      <t xml:space="preserve">65×8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2"/>
        <charset val="1"/>
      </rPr>
      <t xml:space="preserve">100</t>
    </r>
  </si>
  <si>
    <t xml:space="preserve">特殊重載</t>
  </si>
  <si>
    <r>
      <rPr>
        <b val="true"/>
        <sz val="11"/>
        <rFont val="Cambria"/>
        <family val="0"/>
        <charset val="1"/>
      </rPr>
      <t xml:space="preserve">Deck</t>
    </r>
    <r>
      <rPr>
        <b val="true"/>
        <sz val="11"/>
        <rFont val="Noto Sans CJK SC"/>
        <family val="2"/>
      </rPr>
      <t xml:space="preserve">型號</t>
    </r>
  </si>
  <si>
    <t xml:space="preserve">有效寬 b_eff (mm/m)</t>
  </si>
  <si>
    <t xml:space="preserve">板厚 t (mm)</t>
  </si>
  <si>
    <t xml:space="preserve">Deck Ix (mm⁴/m)</t>
  </si>
  <si>
    <t xml:space="preserve">1.0W-0.8mm</t>
  </si>
  <si>
    <t xml:space="preserve">淺波50mm</t>
  </si>
  <si>
    <t xml:space="preserve">1.0W-1.0mm</t>
  </si>
  <si>
    <t xml:space="preserve">1.0W-1.2mm</t>
  </si>
  <si>
    <t xml:space="preserve">1.5W-0.8mm</t>
  </si>
  <si>
    <t xml:space="preserve">中波75mm</t>
  </si>
  <si>
    <t xml:space="preserve">1.5W-1.0mm</t>
  </si>
  <si>
    <t xml:space="preserve">1.5W-1.2mm</t>
  </si>
  <si>
    <t xml:space="preserve">2.0W-0.8mm</t>
  </si>
  <si>
    <t xml:space="preserve">深波75mm</t>
  </si>
  <si>
    <t xml:space="preserve">2.0W-1.0mm</t>
  </si>
  <si>
    <t xml:space="preserve">2.0W-1.2mm</t>
  </si>
  <si>
    <t xml:space="preserve">3.0W-0.8mm</t>
  </si>
  <si>
    <t xml:space="preserve">深波100mm</t>
  </si>
  <si>
    <t xml:space="preserve">3.0W-1.0mm</t>
  </si>
  <si>
    <t xml:space="preserve">電焊鋼絲網 (WWM) 規格表</t>
  </si>
  <si>
    <r>
      <rPr>
        <b val="true"/>
        <sz val="11"/>
        <rFont val="Cambria"/>
        <family val="0"/>
        <charset val="1"/>
      </rPr>
      <t xml:space="preserve">WWM</t>
    </r>
    <r>
      <rPr>
        <b val="true"/>
        <sz val="11"/>
        <rFont val="Noto Sans CJK SC"/>
        <family val="2"/>
      </rPr>
      <t xml:space="preserve">規格</t>
    </r>
  </si>
  <si>
    <t xml:space="preserve">鋼絲直徑 φ (mm)</t>
  </si>
  <si>
    <t xml:space="preserve">經向間距 (mm)</t>
  </si>
  <si>
    <t xml:space="preserve">緯向間距 (mm)</t>
  </si>
  <si>
    <r>
      <rPr>
        <b val="true"/>
        <sz val="11"/>
        <rFont val="Cambria"/>
        <family val="0"/>
        <charset val="1"/>
      </rPr>
      <t xml:space="preserve">As_</t>
    </r>
    <r>
      <rPr>
        <b val="true"/>
        <sz val="11"/>
        <rFont val="Noto Sans CJK SC"/>
        <family val="2"/>
      </rPr>
      <t xml:space="preserve">經 </t>
    </r>
    <r>
      <rPr>
        <b val="true"/>
        <sz val="11"/>
        <rFont val="Cambria"/>
        <family val="0"/>
        <charset val="1"/>
      </rPr>
      <t xml:space="preserve">(mm²/m)</t>
    </r>
  </si>
  <si>
    <r>
      <rPr>
        <b val="true"/>
        <sz val="11"/>
        <rFont val="Cambria"/>
        <family val="0"/>
        <charset val="1"/>
      </rPr>
      <t xml:space="preserve">As_</t>
    </r>
    <r>
      <rPr>
        <b val="true"/>
        <sz val="11"/>
        <rFont val="Noto Sans CJK SC"/>
        <family val="2"/>
      </rPr>
      <t xml:space="preserve">緯 </t>
    </r>
    <r>
      <rPr>
        <b val="true"/>
        <sz val="11"/>
        <rFont val="Cambria"/>
        <family val="0"/>
        <charset val="1"/>
      </rPr>
      <t xml:space="preserve">(mm²/m)</t>
    </r>
  </si>
  <si>
    <t xml:space="preserve">fy (MPa)</t>
  </si>
  <si>
    <t xml:space="preserve">φ3.2@100×100</t>
  </si>
  <si>
    <t xml:space="preserve">φ3.2@150×150</t>
  </si>
  <si>
    <t xml:space="preserve">φ4.0@100×100</t>
  </si>
  <si>
    <t xml:space="preserve">φ4.0@200×200</t>
  </si>
  <si>
    <t xml:space="preserve">φ5.0@100×100</t>
  </si>
  <si>
    <t xml:space="preserve">φ5.0@150×150</t>
  </si>
  <si>
    <t xml:space="preserve">φ5.0@200×200</t>
  </si>
  <si>
    <t xml:space="preserve">φ6.0@100×100</t>
  </si>
  <si>
    <t xml:space="preserve">φ6.0@150×150</t>
  </si>
  <si>
    <t xml:space="preserve">φ6.0@200×200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</si>
</sst>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General"/>
  </numFmts>
  <fonts count="3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i val="true"/>
      <sz val="10"/>
      <color rgb="FF795548"/>
      <name val="Noto Sans CJK SC"/>
      <family val="2"/>
      <charset val="1"/>
    </font>
    <font>
      <b val="true"/>
      <sz val="11"/>
      <color rgb="FF006100"/>
      <name val="Noto Sans CJK SC"/>
      <family val="2"/>
      <charset val="1"/>
    </font>
    <font>
      <sz val="10"/>
      <color rgb="FFBF360C"/>
      <name val="Noto Sans CJK SC"/>
      <family val="2"/>
      <charset val="1"/>
    </font>
    <font>
      <sz val="11"/>
      <name val="Noto Sans CJK SC"/>
      <family val="2"/>
      <charset val="1"/>
    </font>
    <font>
      <b val="true"/>
      <sz val="12"/>
      <color rgb="FF1565C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2"/>
      <color rgb="FF1565C0"/>
      <name val="Cambria"/>
      <family val="0"/>
      <charset val="1"/>
    </font>
    <font>
      <b val="true"/>
      <sz val="12"/>
      <color rgb="FF1565C0"/>
      <name val="Noto Sans CJK SC"/>
      <family val="2"/>
    </font>
    <font>
      <b val="true"/>
      <sz val="11"/>
      <color rgb="FFC62828"/>
      <name val="Noto Sans CJK SC"/>
      <family val="2"/>
      <charset val="1"/>
    </font>
    <font>
      <b val="true"/>
      <sz val="11"/>
      <color rgb="FFC62828"/>
      <name val="Cambria"/>
      <family val="0"/>
      <charset val="1"/>
    </font>
    <font>
      <b val="true"/>
      <sz val="11"/>
      <color rgb="FFC62828"/>
      <name val="Noto Sans CJK SC"/>
      <family val="2"/>
    </font>
    <font>
      <sz val="10"/>
      <name val="Cambria"/>
      <family val="0"/>
      <charset val="1"/>
    </font>
    <font>
      <sz val="10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Noto Sans CJK SC"/>
      <family val="2"/>
      <charset val="1"/>
    </font>
    <font>
      <sz val="11"/>
      <color theme="1"/>
      <name val="Calibri"/>
      <family val="2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BF360C"/>
      <name val="Noto Sans CJK SC"/>
      <family val="2"/>
      <charset val="1"/>
    </font>
    <font>
      <sz val="10"/>
      <name val="Arial"/>
      <family val="2"/>
    </font>
    <font>
      <i val="true"/>
      <sz val="10"/>
      <color rgb="FF666666"/>
      <name val="Noto Sans CJK SC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</font>
    <font>
      <i val="true"/>
      <sz val="10"/>
      <color rgb="FF795548"/>
      <name val="Cambria"/>
      <family val="0"/>
      <charset val="1"/>
    </font>
    <font>
      <i val="true"/>
      <sz val="10"/>
      <color rgb="FF795548"/>
      <name val="Noto Sans CJK SC"/>
      <family val="2"/>
    </font>
    <font>
      <sz val="10"/>
      <color rgb="FFBF360C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Noto Sans CJK SC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C6E0B4"/>
      </patternFill>
    </fill>
    <fill>
      <patternFill patternType="solid">
        <fgColor rgb="FFFFFDE7"/>
        <bgColor rgb="FFFFF3E0"/>
      </patternFill>
    </fill>
    <fill>
      <patternFill patternType="solid">
        <fgColor rgb="FFF3F3F3"/>
        <bgColor rgb="FFF5F5F5"/>
      </patternFill>
    </fill>
    <fill>
      <patternFill patternType="solid">
        <fgColor rgb="FFFDE9E7"/>
        <bgColor rgb="FFFFEBEE"/>
      </patternFill>
    </fill>
    <fill>
      <patternFill patternType="solid">
        <fgColor rgb="FFE8F5E9"/>
        <bgColor rgb="FFF3F3F3"/>
      </patternFill>
    </fill>
    <fill>
      <patternFill patternType="solid">
        <fgColor rgb="FFFFF3E0"/>
        <bgColor rgb="FFFFF2CC"/>
      </patternFill>
    </fill>
    <fill>
      <patternFill patternType="solid">
        <fgColor rgb="FFE3F2FD"/>
        <bgColor rgb="FFEAF3FF"/>
      </patternFill>
    </fill>
    <fill>
      <patternFill patternType="solid">
        <fgColor rgb="FFFFEBEE"/>
        <bgColor rgb="FFFDE9E7"/>
      </patternFill>
    </fill>
    <fill>
      <patternFill patternType="solid">
        <fgColor rgb="FFD9EAF7"/>
        <bgColor rgb="FFE3F2FD"/>
      </patternFill>
    </fill>
    <fill>
      <patternFill patternType="solid">
        <fgColor rgb="FFEAF3FF"/>
        <bgColor rgb="FFE3F2FD"/>
      </patternFill>
    </fill>
    <fill>
      <patternFill patternType="solid">
        <fgColor rgb="FFFFF2CC"/>
        <bgColor rgb="FFFFF3E0"/>
      </patternFill>
    </fill>
    <fill>
      <patternFill patternType="solid">
        <fgColor rgb="FFF5F5F5"/>
        <bgColor rgb="FFF3F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7B7B7"/>
      <rgbColor rgb="FF808080"/>
      <rgbColor rgb="FFEAF3FF"/>
      <rgbColor rgb="FF795548"/>
      <rgbColor rgb="FFFFFDE7"/>
      <rgbColor rgb="FFE3F2FD"/>
      <rgbColor rgb="FF660066"/>
      <rgbColor rgb="FFC55A11"/>
      <rgbColor rgb="FF1565C0"/>
      <rgbColor rgb="FFBDD7EE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D9EAF7"/>
      <rgbColor rgb="FFE8F5E9"/>
      <rgbColor rgb="FFFFF2CC"/>
      <rgbColor rgb="FFC6E0B4"/>
      <rgbColor rgb="FFFDE9E7"/>
      <rgbColor rgb="FFFFEBEE"/>
      <rgbColor rgb="FFF4CCCC"/>
      <rgbColor rgb="FF2E75B6"/>
      <rgbColor rgb="FF33CCCC"/>
      <rgbColor rgb="FF99CC00"/>
      <rgbColor rgb="FFF5F5F5"/>
      <rgbColor rgb="FFFF9900"/>
      <rgbColor rgb="FFFF6D00"/>
      <rgbColor rgb="FF666666"/>
      <rgbColor rgb="FF969696"/>
      <rgbColor rgb="FF003366"/>
      <rgbColor rgb="FF339966"/>
      <rgbColor rgb="FF003300"/>
      <rgbColor rgb="FF333300"/>
      <rgbColor rgb="FFBF360C"/>
      <rgbColor rgb="FFC62828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D00"/>
    <pageSetUpPr fitToPage="false"/>
  </sheetPr>
  <dimension ref="B1:C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3"/>
  </cols>
  <sheetData>
    <row r="1" customFormat="false" ht="17.25" hidden="false" customHeight="true" outlineLevel="0" collapsed="false">
      <c r="B1" s="2" t="s">
        <v>0</v>
      </c>
      <c r="C1" s="2"/>
    </row>
    <row r="3" customFormat="false" ht="15" hidden="false" customHeight="true" outlineLevel="0" collapsed="false">
      <c r="B3" s="3" t="s">
        <v>1</v>
      </c>
      <c r="C3" s="3"/>
    </row>
    <row r="4" customFormat="false" ht="16.5" hidden="false" customHeight="true" outlineLevel="0" collapsed="false">
      <c r="B4" s="4" t="s">
        <v>2</v>
      </c>
      <c r="C4" s="5" t="s">
        <v>3</v>
      </c>
    </row>
    <row r="5" customFormat="false" ht="15" hidden="false" customHeight="true" outlineLevel="0" collapsed="false">
      <c r="B5" s="6" t="s">
        <v>4</v>
      </c>
      <c r="C5" s="5" t="s">
        <v>5</v>
      </c>
    </row>
    <row r="6" customFormat="false" ht="15" hidden="false" customHeight="true" outlineLevel="0" collapsed="false">
      <c r="B6" s="7" t="s">
        <v>6</v>
      </c>
      <c r="C6" s="5" t="s">
        <v>7</v>
      </c>
    </row>
    <row r="7" customFormat="false" ht="15" hidden="false" customHeight="true" outlineLevel="0" collapsed="false">
      <c r="B7" s="8" t="s">
        <v>8</v>
      </c>
      <c r="C7" s="5" t="s">
        <v>9</v>
      </c>
    </row>
    <row r="8" customFormat="false" ht="15" hidden="false" customHeight="true" outlineLevel="0" collapsed="false">
      <c r="B8" s="9" t="s">
        <v>10</v>
      </c>
      <c r="C8" s="5" t="s">
        <v>11</v>
      </c>
    </row>
    <row r="10" customFormat="false" ht="15" hidden="false" customHeight="true" outlineLevel="0" collapsed="false">
      <c r="B10" s="3" t="s">
        <v>12</v>
      </c>
      <c r="C10" s="3"/>
    </row>
    <row r="11" customFormat="false" ht="16.5" hidden="false" customHeight="true" outlineLevel="0" collapsed="false">
      <c r="B11" s="10" t="s">
        <v>13</v>
      </c>
      <c r="C11" s="10"/>
    </row>
    <row r="12" customFormat="false" ht="16.5" hidden="false" customHeight="true" outlineLevel="0" collapsed="false">
      <c r="B12" s="10" t="s">
        <v>14</v>
      </c>
      <c r="C12" s="10"/>
    </row>
    <row r="13" customFormat="false" ht="16.5" hidden="false" customHeight="true" outlineLevel="0" collapsed="false">
      <c r="B13" s="10" t="s">
        <v>15</v>
      </c>
      <c r="C13" s="10"/>
    </row>
    <row r="14" customFormat="false" ht="16.5" hidden="false" customHeight="true" outlineLevel="0" collapsed="false">
      <c r="B14" s="10" t="s">
        <v>16</v>
      </c>
      <c r="C14" s="10"/>
    </row>
    <row r="15" customFormat="false" ht="15" hidden="false" customHeight="true" outlineLevel="0" collapsed="false">
      <c r="B15" s="10"/>
      <c r="C15" s="10"/>
    </row>
    <row r="16" customFormat="false" ht="16.5" hidden="false" customHeight="true" outlineLevel="0" collapsed="false">
      <c r="B16" s="10" t="s">
        <v>17</v>
      </c>
      <c r="C16" s="10"/>
    </row>
    <row r="17" customFormat="false" ht="16.5" hidden="false" customHeight="true" outlineLevel="0" collapsed="false">
      <c r="B17" s="10" t="s">
        <v>18</v>
      </c>
      <c r="C17" s="10"/>
    </row>
    <row r="18" customFormat="false" ht="16.5" hidden="false" customHeight="true" outlineLevel="0" collapsed="false">
      <c r="B18" s="10" t="s">
        <v>19</v>
      </c>
      <c r="C18" s="10"/>
    </row>
    <row r="19" customFormat="false" ht="16.5" hidden="false" customHeight="true" outlineLevel="0" collapsed="false">
      <c r="B19" s="10" t="s">
        <v>20</v>
      </c>
      <c r="C19" s="10"/>
    </row>
    <row r="22" customFormat="false" ht="15" hidden="false" customHeight="true" outlineLevel="0" collapsed="false">
      <c r="B22" s="3" t="s">
        <v>21</v>
      </c>
      <c r="C22" s="3"/>
    </row>
    <row r="23" customFormat="false" ht="15" hidden="false" customHeight="true" outlineLevel="0" collapsed="false">
      <c r="B23" s="11" t="s">
        <v>22</v>
      </c>
      <c r="C23" s="11"/>
    </row>
    <row r="24" customFormat="false" ht="15" hidden="false" customHeight="true" outlineLevel="0" collapsed="false">
      <c r="B24" s="12" t="s">
        <v>23</v>
      </c>
      <c r="C24" s="12"/>
    </row>
    <row r="25" customFormat="false" ht="15" hidden="false" customHeight="true" outlineLevel="0" collapsed="false">
      <c r="B25" s="12" t="s">
        <v>24</v>
      </c>
      <c r="C25" s="12"/>
    </row>
    <row r="26" customFormat="false" ht="15" hidden="false" customHeight="true" outlineLevel="0" collapsed="false">
      <c r="B26" s="12" t="s">
        <v>25</v>
      </c>
      <c r="C26" s="12"/>
    </row>
    <row r="28" customFormat="false" ht="15" hidden="false" customHeight="true" outlineLevel="0" collapsed="false">
      <c r="B28" s="11" t="s">
        <v>26</v>
      </c>
      <c r="C28" s="11"/>
    </row>
    <row r="29" customFormat="false" ht="15" hidden="false" customHeight="true" outlineLevel="0" collapsed="false">
      <c r="B29" s="12" t="s">
        <v>27</v>
      </c>
      <c r="C29" s="12"/>
    </row>
    <row r="30" customFormat="false" ht="15" hidden="false" customHeight="true" outlineLevel="0" collapsed="false">
      <c r="B30" s="12" t="s">
        <v>28</v>
      </c>
      <c r="C30" s="12"/>
    </row>
    <row r="31" customFormat="false" ht="15" hidden="false" customHeight="true" outlineLevel="0" collapsed="false">
      <c r="B31" s="12" t="s">
        <v>29</v>
      </c>
      <c r="C31" s="12"/>
    </row>
    <row r="33" customFormat="false" ht="15" hidden="false" customHeight="true" outlineLevel="0" collapsed="false">
      <c r="B33" s="11" t="s">
        <v>30</v>
      </c>
      <c r="C33" s="11"/>
    </row>
    <row r="34" customFormat="false" ht="15" hidden="false" customHeight="true" outlineLevel="0" collapsed="false">
      <c r="B34" s="12" t="s">
        <v>31</v>
      </c>
      <c r="C34" s="12"/>
    </row>
    <row r="35" customFormat="false" ht="15" hidden="false" customHeight="true" outlineLevel="0" collapsed="false">
      <c r="B35" s="12" t="s">
        <v>32</v>
      </c>
      <c r="C35" s="12"/>
    </row>
    <row r="36" customFormat="false" ht="15" hidden="false" customHeight="true" outlineLevel="0" collapsed="false">
      <c r="B36" s="12" t="s">
        <v>33</v>
      </c>
      <c r="C36" s="12"/>
    </row>
    <row r="38" customFormat="false" ht="18.75" hidden="false" customHeight="true" outlineLevel="0" collapsed="false">
      <c r="B38" s="13" t="s">
        <v>34</v>
      </c>
      <c r="C38" s="13"/>
    </row>
    <row r="39" customFormat="false" ht="15" hidden="false" customHeight="true" outlineLevel="0" collapsed="false">
      <c r="B39" s="12" t="s">
        <v>35</v>
      </c>
      <c r="C39" s="12"/>
    </row>
    <row r="40" customFormat="false" ht="15" hidden="false" customHeight="true" outlineLevel="0" collapsed="false">
      <c r="B40" s="12" t="s">
        <v>36</v>
      </c>
      <c r="C40" s="12"/>
    </row>
    <row r="41" customFormat="false" ht="15" hidden="false" customHeight="true" outlineLevel="0" collapsed="false">
      <c r="B41" s="12" t="s">
        <v>37</v>
      </c>
      <c r="C41" s="12"/>
    </row>
    <row r="43" customFormat="false" ht="18.75" hidden="false" customHeight="true" outlineLevel="0" collapsed="false">
      <c r="B43" s="11" t="s">
        <v>38</v>
      </c>
      <c r="C43" s="11"/>
    </row>
    <row r="44" customFormat="false" ht="15" hidden="false" customHeight="true" outlineLevel="0" collapsed="false">
      <c r="B44" s="12" t="s">
        <v>39</v>
      </c>
      <c r="C44" s="12"/>
    </row>
    <row r="45" customFormat="false" ht="15" hidden="false" customHeight="true" outlineLevel="0" collapsed="false">
      <c r="B45" s="12" t="s">
        <v>40</v>
      </c>
      <c r="C45" s="12"/>
    </row>
    <row r="47" customFormat="false" ht="15" hidden="false" customHeight="true" outlineLevel="0" collapsed="false">
      <c r="B47" s="3" t="s">
        <v>41</v>
      </c>
      <c r="C47" s="3"/>
    </row>
    <row r="48" customFormat="false" ht="16.5" hidden="false" customHeight="true" outlineLevel="0" collapsed="false">
      <c r="B48" s="14" t="s">
        <v>42</v>
      </c>
      <c r="C48" s="14"/>
    </row>
    <row r="49" customFormat="false" ht="16.5" hidden="false" customHeight="true" outlineLevel="0" collapsed="false">
      <c r="B49" s="14" t="s">
        <v>43</v>
      </c>
      <c r="C49" s="14"/>
    </row>
    <row r="50" customFormat="false" ht="16.5" hidden="false" customHeight="true" outlineLevel="0" collapsed="false">
      <c r="B50" s="14" t="s">
        <v>44</v>
      </c>
      <c r="C50" s="14"/>
    </row>
    <row r="51" customFormat="false" ht="16.5" hidden="false" customHeight="true" outlineLevel="0" collapsed="false">
      <c r="B51" s="15" t="s">
        <v>45</v>
      </c>
      <c r="C51" s="15"/>
    </row>
    <row r="52" customFormat="false" ht="16.5" hidden="false" customHeight="true" outlineLevel="0" collapsed="false">
      <c r="B52" s="14" t="s">
        <v>46</v>
      </c>
      <c r="C52" s="14"/>
    </row>
    <row r="54" customFormat="false" ht="15" hidden="false" customHeight="true" outlineLevel="0" collapsed="false">
      <c r="B54" s="16" t="s">
        <v>47</v>
      </c>
      <c r="C54" s="16"/>
    </row>
    <row r="55" customFormat="false" ht="15" hidden="false" customHeight="true" outlineLevel="0" collapsed="false">
      <c r="B55" s="17" t="s">
        <v>48</v>
      </c>
      <c r="C55" s="18" t="s">
        <v>49</v>
      </c>
    </row>
    <row r="56" customFormat="false" ht="15" hidden="false" customHeight="true" outlineLevel="0" collapsed="false">
      <c r="B56" s="17" t="s">
        <v>50</v>
      </c>
      <c r="C56" s="18" t="s">
        <v>51</v>
      </c>
    </row>
    <row r="57" customFormat="false" ht="15" hidden="false" customHeight="true" outlineLevel="0" collapsed="false">
      <c r="B57" s="17" t="s">
        <v>52</v>
      </c>
      <c r="C57" s="18" t="s">
        <v>53</v>
      </c>
    </row>
    <row r="58" customFormat="false" ht="15" hidden="false" customHeight="true" outlineLevel="0" collapsed="false">
      <c r="B58" s="17" t="s">
        <v>54</v>
      </c>
      <c r="C58" s="18" t="s">
        <v>55</v>
      </c>
    </row>
    <row r="59" customFormat="false" ht="15" hidden="false" customHeight="true" outlineLevel="0" collapsed="false">
      <c r="B59" s="17" t="s">
        <v>56</v>
      </c>
      <c r="C59" s="18" t="s">
        <v>57</v>
      </c>
    </row>
    <row r="60" customFormat="false" ht="15" hidden="false" customHeight="true" outlineLevel="0" collapsed="false">
      <c r="B60" s="17" t="s">
        <v>58</v>
      </c>
      <c r="C60" s="18" t="s">
        <v>59</v>
      </c>
    </row>
    <row r="61" customFormat="false" ht="15" hidden="false" customHeight="true" outlineLevel="0" collapsed="false">
      <c r="B61" s="17" t="s">
        <v>60</v>
      </c>
      <c r="C61" s="18" t="s">
        <v>61</v>
      </c>
    </row>
    <row r="62" customFormat="false" ht="15" hidden="false" customHeight="true" outlineLevel="0" collapsed="false">
      <c r="B62" s="17" t="s">
        <v>62</v>
      </c>
      <c r="C62" s="18" t="s">
        <v>63</v>
      </c>
    </row>
    <row r="63" customFormat="false" ht="15" hidden="false" customHeight="true" outlineLevel="0" collapsed="false">
      <c r="B63" s="17" t="s">
        <v>64</v>
      </c>
      <c r="C63" s="18" t="s">
        <v>65</v>
      </c>
    </row>
    <row r="64" customFormat="false" ht="15" hidden="false" customHeight="true" outlineLevel="0" collapsed="false">
      <c r="B64" s="17" t="s">
        <v>66</v>
      </c>
      <c r="C64" s="18" t="s">
        <v>67</v>
      </c>
    </row>
    <row r="65" customFormat="false" ht="16.5" hidden="false" customHeight="true" outlineLevel="0" collapsed="false">
      <c r="B65" s="19" t="s">
        <v>68</v>
      </c>
      <c r="C65" s="18" t="s">
        <v>69</v>
      </c>
    </row>
    <row r="66" customFormat="false" ht="16.5" hidden="false" customHeight="true" outlineLevel="0" collapsed="false">
      <c r="B66" s="19" t="s">
        <v>70</v>
      </c>
      <c r="C66" s="18" t="s">
        <v>71</v>
      </c>
    </row>
    <row r="67" customFormat="false" ht="15" hidden="false" customHeight="true" outlineLevel="0" collapsed="false">
      <c r="B67" s="17" t="s">
        <v>72</v>
      </c>
      <c r="C67" s="18" t="s">
        <v>73</v>
      </c>
    </row>
  </sheetData>
  <mergeCells count="39">
    <mergeCell ref="B1:C1"/>
    <mergeCell ref="B3:C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2:C22"/>
    <mergeCell ref="B23:C23"/>
    <mergeCell ref="B24:C24"/>
    <mergeCell ref="B25:C25"/>
    <mergeCell ref="B26:C26"/>
    <mergeCell ref="B28:C28"/>
    <mergeCell ref="B29:C29"/>
    <mergeCell ref="B30:C30"/>
    <mergeCell ref="B31:C31"/>
    <mergeCell ref="B33:C33"/>
    <mergeCell ref="B34:C34"/>
    <mergeCell ref="B35:C35"/>
    <mergeCell ref="B36:C36"/>
    <mergeCell ref="B38:C38"/>
    <mergeCell ref="B39:C39"/>
    <mergeCell ref="B40:C40"/>
    <mergeCell ref="B41:C41"/>
    <mergeCell ref="B43:C43"/>
    <mergeCell ref="B44:C44"/>
    <mergeCell ref="B45:C45"/>
    <mergeCell ref="B47:C47"/>
    <mergeCell ref="B48:C48"/>
    <mergeCell ref="B49:C49"/>
    <mergeCell ref="B50:C50"/>
    <mergeCell ref="B51:C51"/>
    <mergeCell ref="B52:C52"/>
    <mergeCell ref="B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  <col collapsed="false" customWidth="true" hidden="false" outlineLevel="0" max="3" min="3" style="1" width="26"/>
    <col collapsed="false" customWidth="true" hidden="false" outlineLevel="0" max="5" min="4" style="1" width="18"/>
    <col collapsed="false" customWidth="true" hidden="false" outlineLevel="0" max="6" min="6" style="1" width="5"/>
    <col collapsed="false" customWidth="true" hidden="false" outlineLevel="0" max="7" min="7" style="1" width="20"/>
    <col collapsed="false" customWidth="true" hidden="false" outlineLevel="0" max="8" min="8" style="1" width="22"/>
    <col collapsed="false" customWidth="true" hidden="false" outlineLevel="0" max="9" min="9" style="1" width="45"/>
    <col collapsed="false" customWidth="true" hidden="true" outlineLevel="0" max="11" min="11" style="1" width="12"/>
  </cols>
  <sheetData>
    <row r="1" customFormat="false" ht="21" hidden="false" customHeight="true" outlineLevel="0" collapsed="false">
      <c r="A1" s="20" t="s">
        <v>74</v>
      </c>
      <c r="B1" s="20"/>
      <c r="C1" s="20"/>
      <c r="D1" s="20"/>
      <c r="E1" s="20"/>
      <c r="F1" s="20"/>
      <c r="G1" s="20"/>
      <c r="H1" s="20"/>
    </row>
    <row r="2" customFormat="false" ht="15" hidden="false" customHeight="true" outlineLevel="0" collapsed="false">
      <c r="K2" s="1" t="str">
        <f aca="false">IFERROR(INDEX(DB_Settings!$K$2:$K$7,MATCH($B$7,DB_Settings!$J$2:$J$7,0)),"")</f>
        <v>Shape_H</v>
      </c>
    </row>
    <row r="3" customFormat="false" ht="15" hidden="false" customHeight="true" outlineLevel="0" collapsed="false">
      <c r="A3" s="21" t="s">
        <v>75</v>
      </c>
      <c r="B3" s="21"/>
      <c r="C3" s="21"/>
      <c r="D3" s="21" t="s">
        <v>76</v>
      </c>
      <c r="E3" s="21"/>
      <c r="G3" s="21" t="s">
        <v>77</v>
      </c>
      <c r="H3" s="21"/>
    </row>
    <row r="4" customFormat="false" ht="29.25" hidden="false" customHeight="true" outlineLevel="0" collapsed="false">
      <c r="A4" s="22" t="s">
        <v>78</v>
      </c>
      <c r="B4" s="23" t="s">
        <v>79</v>
      </c>
      <c r="C4" s="5" t="s">
        <v>80</v>
      </c>
      <c r="D4" s="22" t="s">
        <v>81</v>
      </c>
      <c r="E4" s="24" t="str">
        <f aca="false">IF($B$8="","",VLOOKUP($B$8,DB_Sections!$A$2:$N$500,2,0))</f>
        <v>H形鋼</v>
      </c>
      <c r="G4" s="22" t="s">
        <v>82</v>
      </c>
      <c r="H4" s="24" t="str">
        <f aca="false">IF($B$16="","",VLOOKUP($B$16,DB_Deflection!$A$2:$G$100,2,0))</f>
        <v>一般鋼梁</v>
      </c>
    </row>
    <row r="5" customFormat="false" ht="29.25" hidden="false" customHeight="true" outlineLevel="0" collapsed="false">
      <c r="A5" s="22" t="s">
        <v>83</v>
      </c>
      <c r="B5" s="23" t="s">
        <v>84</v>
      </c>
      <c r="C5" s="5" t="s">
        <v>85</v>
      </c>
      <c r="D5" s="25" t="s">
        <v>86</v>
      </c>
      <c r="E5" s="24" t="n">
        <f aca="false">IF($B$8="","",VLOOKUP($B$8,DB_Sections!$A$2:$N$500,3,0))</f>
        <v>100</v>
      </c>
      <c r="G5" s="25" t="s">
        <v>87</v>
      </c>
      <c r="H5" s="26" t="n">
        <f aca="false">IF($B$16="","",VLOOKUP($B$16,DB_Deflection!$A$2:$G$100,3,0))</f>
        <v>240</v>
      </c>
    </row>
    <row r="6" customFormat="false" ht="29.25" hidden="false" customHeight="true" outlineLevel="0" collapsed="false">
      <c r="A6" s="22" t="s">
        <v>88</v>
      </c>
      <c r="B6" s="23" t="s">
        <v>89</v>
      </c>
      <c r="C6" s="5" t="s">
        <v>90</v>
      </c>
      <c r="D6" s="25" t="s">
        <v>91</v>
      </c>
      <c r="E6" s="24" t="n">
        <f aca="false">IF($B$8="","",VLOOKUP($B$8,DB_Sections!$A$2:$N$500,4,0))</f>
        <v>50</v>
      </c>
      <c r="G6" s="22" t="s">
        <v>92</v>
      </c>
      <c r="H6" s="26" t="n">
        <f aca="false">IF($B$16="","",VLOOKUP($B$16,DB_Deflection!$A$2:$G$100,4,0))</f>
        <v>0</v>
      </c>
    </row>
    <row r="7" customFormat="false" ht="29.25" hidden="false" customHeight="true" outlineLevel="0" collapsed="false">
      <c r="A7" s="22" t="s">
        <v>81</v>
      </c>
      <c r="B7" s="27" t="s">
        <v>93</v>
      </c>
      <c r="C7" s="5" t="s">
        <v>94</v>
      </c>
      <c r="D7" s="25" t="s">
        <v>95</v>
      </c>
      <c r="E7" s="24" t="n">
        <f aca="false">IF($B$8="","",VLOOKUP($B$8,DB_Sections!$A$2:$N$500,5,0))</f>
        <v>5</v>
      </c>
      <c r="G7" s="22" t="s">
        <v>96</v>
      </c>
      <c r="H7" s="24" t="str">
        <f aca="false">IF($B$16="","",VLOOKUP($B$16,DB_Deflection!$A$2:$G$100,5,0))</f>
        <v>總載重撓度</v>
      </c>
    </row>
    <row r="8" customFormat="false" ht="29.25" hidden="false" customHeight="true" outlineLevel="0" collapsed="false">
      <c r="A8" s="22" t="s">
        <v>97</v>
      </c>
      <c r="B8" s="27" t="s">
        <v>98</v>
      </c>
      <c r="C8" s="5" t="s">
        <v>99</v>
      </c>
      <c r="D8" s="25" t="s">
        <v>100</v>
      </c>
      <c r="E8" s="24" t="n">
        <f aca="false">IF($B$8="","",VLOOKUP($B$8,DB_Sections!$A$2:$N$500,6,0))</f>
        <v>7</v>
      </c>
      <c r="G8" s="22" t="s">
        <v>101</v>
      </c>
      <c r="H8" s="26" t="n">
        <f aca="false">IF(AND(OR(H5="",H5&lt;=0),OR(H6="",H6&lt;=0)),"",IF(OR(H5="",H5&lt;=0),H6,IF(OR(H6="",H6&lt;=0),$B$10/H5,MIN($B$10/H5,H6))))</f>
        <v>25</v>
      </c>
    </row>
    <row r="9" customFormat="false" ht="29.25" hidden="false" customHeight="true" outlineLevel="0" collapsed="false">
      <c r="A9" s="22" t="s">
        <v>102</v>
      </c>
      <c r="B9" s="27" t="s">
        <v>103</v>
      </c>
      <c r="C9" s="5" t="s">
        <v>104</v>
      </c>
      <c r="D9" s="22" t="s">
        <v>105</v>
      </c>
      <c r="E9" s="24" t="n">
        <f aca="false">IF($B$8="","",VLOOKUP($B$8,DB_Sections!$A$2:$N$500,7,0))</f>
        <v>0</v>
      </c>
      <c r="G9" s="22" t="s">
        <v>106</v>
      </c>
      <c r="H9" s="28" t="str">
        <f aca="false">IF($B$16="","",VLOOKUP($B$16,DB_Deflection!$A$2:$G$100,6,0))</f>
        <v>容許撓度 Δa = L/240</v>
      </c>
    </row>
    <row r="10" customFormat="false" ht="29.25" hidden="false" customHeight="true" outlineLevel="0" collapsed="false">
      <c r="A10" s="22" t="s">
        <v>107</v>
      </c>
      <c r="B10" s="29" t="n">
        <v>6000</v>
      </c>
      <c r="C10" s="5" t="s">
        <v>108</v>
      </c>
      <c r="D10" s="25" t="s">
        <v>109</v>
      </c>
      <c r="E10" s="26" t="n">
        <f aca="false">IF($B$8="","",VLOOKUP($B$8,DB_Sections!$A$2:$N$500,8,0))</f>
        <v>1130</v>
      </c>
    </row>
    <row r="11" customFormat="false" ht="29.25" hidden="false" customHeight="true" outlineLevel="0" collapsed="false">
      <c r="A11" s="22" t="s">
        <v>110</v>
      </c>
      <c r="B11" s="23" t="s">
        <v>111</v>
      </c>
      <c r="C11" s="5" t="s">
        <v>112</v>
      </c>
      <c r="D11" s="22" t="s">
        <v>113</v>
      </c>
      <c r="E11" s="26" t="n">
        <f aca="false">IF($B$8="","",VLOOKUP($B$8,DB_Sections!$A$2:$N$500,9,0))</f>
        <v>8.8705</v>
      </c>
      <c r="G11" s="30" t="s">
        <v>114</v>
      </c>
      <c r="H11" s="30"/>
    </row>
    <row r="12" customFormat="false" ht="29.25" hidden="false" customHeight="true" outlineLevel="0" collapsed="false">
      <c r="A12" s="22" t="s">
        <v>115</v>
      </c>
      <c r="B12" s="29" t="n">
        <v>0</v>
      </c>
      <c r="C12" s="5" t="s">
        <v>116</v>
      </c>
      <c r="D12" s="25" t="s">
        <v>117</v>
      </c>
      <c r="E12" s="26" t="n">
        <f aca="false">IF($B$8="","",VLOOKUP($B$8,DB_Sections!$A$2:$N$500,10,0))</f>
        <v>1781456.66666667</v>
      </c>
      <c r="G12" s="31" t="s">
        <v>118</v>
      </c>
      <c r="H12" s="31"/>
    </row>
    <row r="13" customFormat="false" ht="29.25" hidden="false" customHeight="true" outlineLevel="0" collapsed="false">
      <c r="A13" s="22" t="s">
        <v>119</v>
      </c>
      <c r="B13" s="29" t="n">
        <v>10</v>
      </c>
      <c r="C13" s="5" t="s">
        <v>120</v>
      </c>
      <c r="D13" s="25" t="s">
        <v>121</v>
      </c>
      <c r="E13" s="26" t="n">
        <f aca="false">IF($B$8="","",VLOOKUP($B$8,DB_Sections!$A$2:$N$500,11,0))</f>
        <v>35629.1333333333</v>
      </c>
      <c r="G13" s="31" t="s">
        <v>122</v>
      </c>
      <c r="H13" s="31"/>
    </row>
    <row r="14" customFormat="false" ht="32.25" hidden="false" customHeight="true" outlineLevel="0" collapsed="false">
      <c r="A14" s="22" t="s">
        <v>123</v>
      </c>
      <c r="B14" s="29" t="n">
        <v>1.5</v>
      </c>
      <c r="C14" s="5" t="s">
        <v>124</v>
      </c>
      <c r="D14" s="25" t="s">
        <v>125</v>
      </c>
      <c r="E14" s="26" t="n">
        <f aca="false">IF($B$8="","",VLOOKUP($B$8,DB_Sections!$A$2:$N$500,12,0))</f>
        <v>430</v>
      </c>
      <c r="G14" s="31" t="s">
        <v>126</v>
      </c>
      <c r="H14" s="31"/>
    </row>
    <row r="15" customFormat="false" ht="32.25" hidden="false" customHeight="true" outlineLevel="0" collapsed="false">
      <c r="A15" s="22" t="s">
        <v>127</v>
      </c>
      <c r="B15" s="29" t="n">
        <v>1.25</v>
      </c>
      <c r="C15" s="5" t="s">
        <v>128</v>
      </c>
      <c r="D15" s="22" t="s">
        <v>129</v>
      </c>
      <c r="E15" s="26" t="n">
        <f aca="false">IF($B$9="","",VLOOKUP($B$9,DB_Settings!$A$2:$C$6,2,0))</f>
        <v>235.36</v>
      </c>
      <c r="G15" s="31" t="s">
        <v>130</v>
      </c>
      <c r="H15" s="31"/>
    </row>
    <row r="16" customFormat="false" ht="29.25" hidden="false" customHeight="true" outlineLevel="0" collapsed="false">
      <c r="A16" s="22" t="s">
        <v>77</v>
      </c>
      <c r="B16" s="23" t="s">
        <v>131</v>
      </c>
      <c r="C16" s="5" t="s">
        <v>132</v>
      </c>
      <c r="D16" s="22" t="s">
        <v>133</v>
      </c>
      <c r="E16" s="26" t="n">
        <f aca="false">IF($B$9="","",VLOOKUP($B$9,DB_Settings!$A$2:$C$6,3,0))</f>
        <v>200000</v>
      </c>
      <c r="G16" s="31" t="s">
        <v>134</v>
      </c>
      <c r="H16" s="31"/>
    </row>
    <row r="17" customFormat="false" ht="30" hidden="false" customHeight="true" outlineLevel="0" collapsed="false">
      <c r="D17" s="22" t="s">
        <v>135</v>
      </c>
      <c r="E17" s="28" t="str">
        <f aca="false">IF(E15="","","Fb="&amp;ROUND(E15*DB_Settings!$G$3,1)&amp;" MPa；Fv="&amp;ROUND(E15*DB_Settings!$G$4,1)&amp;" MPa")</f>
        <v>Fb=155.3 MPa；Fv=94.1 MPa</v>
      </c>
    </row>
    <row r="19" customFormat="false" ht="15" hidden="false" customHeight="true" outlineLevel="0" collapsed="false">
      <c r="A19" s="21" t="s">
        <v>136</v>
      </c>
      <c r="B19" s="21"/>
      <c r="D19" s="21" t="s">
        <v>137</v>
      </c>
      <c r="E19" s="21"/>
      <c r="I19" s="32" t="s">
        <v>138</v>
      </c>
    </row>
    <row r="20" customFormat="false" ht="16.5" hidden="false" customHeight="true" outlineLevel="0" collapsed="false">
      <c r="A20" s="22" t="s">
        <v>139</v>
      </c>
      <c r="B20" s="26" t="n">
        <f aca="false">IF(E13="","",E15*DB_Settings!$G$3*E13/(DB_Settings!$G$2*1000))</f>
        <v>564.36643115437</v>
      </c>
      <c r="D20" s="33" t="s">
        <v>140</v>
      </c>
      <c r="E20" s="34" t="n">
        <f aca="false">IF($B$6="集中荷重",$B$13*$B$15,0)</f>
        <v>12.5</v>
      </c>
      <c r="I20" s="9" t="str">
        <f aca="false">IF(B20="","","🔧 這根梁最多能承受 "&amp;ROUND(B20,0)&amp;" kg·m 的彎曲力")</f>
        <v>🔧 這根梁最多能承受 564 kg·m 的彎曲力</v>
      </c>
    </row>
    <row r="21" customFormat="false" ht="16.5" hidden="false" customHeight="true" outlineLevel="0" collapsed="false">
      <c r="A21" s="22" t="s">
        <v>141</v>
      </c>
      <c r="B21" s="26" t="n">
        <f aca="false">IF(E14="","",E15*DB_Settings!$G$4*E14/DB_Settings!$G$2)</f>
        <v>4128.00701564755</v>
      </c>
      <c r="D21" s="33" t="s">
        <v>142</v>
      </c>
      <c r="E21" s="34" t="n">
        <f aca="false">IF($B$6="均佈荷重",$B$14*$B$15,0)</f>
        <v>0</v>
      </c>
      <c r="I21" s="9" t="str">
        <f aca="false">IF(B21="","","🔧 這根梁最多能承受 "&amp;ROUND(B21,0)&amp;" kg 的剪切力")</f>
        <v>🔧 這根梁最多能承受 4128 kg 的剪切力</v>
      </c>
    </row>
    <row r="22" customFormat="false" ht="16.5" hidden="false" customHeight="true" outlineLevel="0" collapsed="false">
      <c r="A22" s="22" t="s">
        <v>143</v>
      </c>
      <c r="B22" s="26" t="n">
        <f aca="false">IF($B$11="是",E11,0)+$B$12</f>
        <v>8.8705</v>
      </c>
      <c r="D22" s="33" t="s">
        <v>144</v>
      </c>
      <c r="E22" s="34" t="n">
        <f aca="false">IF($B$5="簡支梁",E20*($B$10/1000)/4 + (B22+E21)*($B$10/1000)^2/8, E20*($B$10/1000) + (B22+E21)*($B$10/1000)^2/2)</f>
        <v>58.66725</v>
      </c>
      <c r="I22" s="9" t="str">
        <f aca="false">IF(B22="","","📌 固定重量（自重+附加）= "&amp;ROUND(B22,2)&amp;" kg/m")</f>
        <v>📌 固定重量（自重+附加）= 8.87 kg/m</v>
      </c>
    </row>
    <row r="23" customFormat="false" ht="16.5" hidden="false" customHeight="true" outlineLevel="0" collapsed="false">
      <c r="A23" s="22" t="s">
        <v>145</v>
      </c>
      <c r="B23" s="26" t="n">
        <f aca="false">IF($B$5="簡支梁",B22*($B$10/1000)^2/8,B22*($B$10/1000)^2/2)</f>
        <v>39.91725</v>
      </c>
      <c r="D23" s="33" t="s">
        <v>146</v>
      </c>
      <c r="E23" s="34" t="n">
        <f aca="false">IF($B$5="簡支梁",E20/2 + (B22+E21)*($B$10/1000)/2, E20 + (B22+E21)*($B$10/1000))</f>
        <v>32.8615</v>
      </c>
    </row>
    <row r="24" customFormat="false" ht="16.5" hidden="false" customHeight="true" outlineLevel="0" collapsed="false">
      <c r="A24" s="22" t="s">
        <v>147</v>
      </c>
      <c r="B24" s="26" t="n">
        <f aca="false">IF($B$5="簡支梁",B22*($B$10/1000)/2,B22*($B$10/1000))</f>
        <v>26.6115</v>
      </c>
      <c r="D24" s="33" t="s">
        <v>148</v>
      </c>
      <c r="E24" s="34" t="n">
        <f aca="false">IF($B$5="簡支梁",E20*DB_Settings!$G$2*$B$10^3/(48*E16*E12)+5*(B22+E21)*DB_Settings!$G$2*$B$10^4/(384*E16*E12*1000), E20*DB_Settings!$G$2*$B$10^3/(3*E16*E12)+(B22+E21)*DB_Settings!$G$2*$B$10^4/(8*E16*E12*1000))</f>
        <v>5.66833444284885</v>
      </c>
    </row>
    <row r="25" customFormat="false" ht="16.5" hidden="false" customHeight="true" outlineLevel="0" collapsed="false">
      <c r="A25" s="22" t="s">
        <v>149</v>
      </c>
      <c r="B25" s="26" t="n">
        <f aca="false">IF($B$5="簡支梁",5*B22*DB_Settings!$G$2*$B$10^4/(384*E16*E12*1000),B22*DB_Settings!$G$2*$B$10^4/(8*E16*E12*1000))</f>
        <v>4.12009565371187</v>
      </c>
      <c r="D25" s="33" t="s">
        <v>150</v>
      </c>
      <c r="E25" s="35" t="n">
        <f aca="false">IF(OR(B20="",B20&lt;=0,E22=""),"",E22/B20)</f>
        <v>0.103952408863157</v>
      </c>
      <c r="I25" s="9" t="str">
        <f aca="false">IF(E25="","","📊 彎矩用了 "&amp;ROUND(E25*100,1)&amp;"% → "&amp;IF(E25&lt;=1,"還有餘裕","已超標！"))</f>
        <v>📊 彎矩用了 10.4% → 還有餘裕</v>
      </c>
    </row>
    <row r="26" customFormat="false" ht="16.5" hidden="false" customHeight="true" outlineLevel="0" collapsed="false">
      <c r="A26" s="22" t="s">
        <v>151</v>
      </c>
      <c r="B26" s="26" t="n">
        <f aca="false">MAX(0,B20-B23)</f>
        <v>524.44918115437</v>
      </c>
      <c r="D26" s="33" t="s">
        <v>152</v>
      </c>
      <c r="E26" s="35" t="n">
        <f aca="false">IF(OR(B21="",B21&lt;=0,E23=""),"",E23/B21)</f>
        <v>0.00796062116063171</v>
      </c>
      <c r="I26" s="9" t="str">
        <f aca="false">IF(E26="","","📊 剪力用了 "&amp;ROUND(E26*100,1)&amp;"% → "&amp;IF(E26&lt;=1,"還有餘裕","已超標！"))</f>
        <v>📊 剪力用了 0.8% → 還有餘裕</v>
      </c>
    </row>
    <row r="27" customFormat="false" ht="16.5" hidden="false" customHeight="true" outlineLevel="0" collapsed="false">
      <c r="A27" s="22" t="s">
        <v>153</v>
      </c>
      <c r="B27" s="26" t="n">
        <f aca="false">MAX(0,B21-B24)</f>
        <v>4101.39551564755</v>
      </c>
      <c r="D27" s="33" t="s">
        <v>154</v>
      </c>
      <c r="E27" s="35" t="n">
        <f aca="false">IF(E24="","",IF(OR(H8="",H8&lt;=0),IF(E24&gt;0,999,0),E24/H8))</f>
        <v>0.226733377713954</v>
      </c>
      <c r="I27" s="9" t="str">
        <f aca="false">IF(E27="","","📊 撓度用了 "&amp;ROUND(E27*100,1)&amp;"% → "&amp;IF(E27&lt;=1,"還有餘裕","已超標！"))</f>
        <v>📊 撓度用了 22.7% → 還有餘裕</v>
      </c>
    </row>
    <row r="28" customFormat="false" ht="16.5" hidden="false" customHeight="true" outlineLevel="0" collapsed="false">
      <c r="A28" s="22" t="s">
        <v>155</v>
      </c>
      <c r="B28" s="26" t="n">
        <f aca="false">MAX(0,H8-IF(OR(H7="總載重撓度",H7="服務性撓度"),B25,0))</f>
        <v>20.8799043462881</v>
      </c>
      <c r="D28" s="36" t="s">
        <v>156</v>
      </c>
      <c r="E28" s="37" t="str">
        <f aca="false">IF(E25="","",IF(E25&lt;=1,"OK","NG"))</f>
        <v>OK</v>
      </c>
      <c r="I28" s="9" t="str">
        <f aca="false">IF(E28="","",IF(E28="OK","✅ 不會被彎斷","❌ 有彎斷風險！"))</f>
        <v>✅ 不會被彎斷</v>
      </c>
    </row>
    <row r="29" customFormat="false" ht="15" hidden="false" customHeight="true" outlineLevel="0" collapsed="false">
      <c r="D29" s="36" t="s">
        <v>157</v>
      </c>
      <c r="E29" s="38" t="str">
        <f aca="false">IF(E26="","",IF(E26&lt;=1,"OK","NG"))</f>
        <v>OK</v>
      </c>
      <c r="I29" s="9" t="str">
        <f aca="false">IF(E29="","",IF(E29="OK","✅ 不會被剪斷","❌ 有剪斷風險！"))</f>
        <v>✅ 不會被剪斷</v>
      </c>
    </row>
    <row r="30" customFormat="false" ht="16.5" hidden="false" customHeight="true" outlineLevel="0" collapsed="false">
      <c r="A30" s="22" t="s">
        <v>158</v>
      </c>
      <c r="B30" s="26" t="n">
        <f aca="false">IF($B$5="簡支梁",4*B26/($B$10/1000),B26/($B$10/1000))</f>
        <v>349.632787436247</v>
      </c>
      <c r="D30" s="36" t="s">
        <v>159</v>
      </c>
      <c r="E30" s="39" t="str">
        <f aca="false">IF(E27="","",IF(E27&lt;=1,"OK","NG"))</f>
        <v>OK</v>
      </c>
      <c r="I30" s="9" t="str">
        <f aca="false">IF(E30="","",IF(E30="OK","✅ 變形在容許範圍","❌ 會彎太多！"))</f>
        <v>✅ 變形在容許範圍</v>
      </c>
    </row>
    <row r="31" customFormat="false" ht="16.5" hidden="false" customHeight="true" outlineLevel="0" collapsed="false">
      <c r="A31" s="22" t="s">
        <v>160</v>
      </c>
      <c r="B31" s="26" t="n">
        <f aca="false">IF($B$5="簡支梁",2*B27,B27)</f>
        <v>8202.79103129509</v>
      </c>
      <c r="D31" s="36" t="s">
        <v>161</v>
      </c>
      <c r="E31" s="40" t="str">
        <f aca="false">IF(COUNTA(E28:E30)=0,"",IF(AND(E28&lt;&gt;"NG",E29&lt;&gt;"NG",E30&lt;&gt;"NG"),"無",IF(AND(E28="NG",E29&lt;&gt;"NG",E30&lt;&gt;"NG"),"彎曲超標",IF(AND(E28&lt;&gt;"NG",E29="NG",E30&lt;&gt;"NG"),"剪力超標",IF(AND(E28&lt;&gt;"NG",E29&lt;&gt;"NG",E30="NG"),"撓度超標",IF(AND(E28="NG",E29="NG",E30&lt;&gt;"NG"),"彎曲、剪力超標",IF(AND(E28="NG",E29&lt;&gt;"NG",E30="NG"),"彎曲、撓度超標",IF(AND(E28&lt;&gt;"NG",E29="NG",E30="NG"),"剪力、撓度超標","彎曲、剪力、撓度超標"))))))))</f>
        <v>無</v>
      </c>
      <c r="I31" s="9" t="str">
        <f aca="false">IF(E31="","",IF(E31="無","✅ 全部通過","⚠ "&amp;E31&amp;" — 請換大一號斷面"))</f>
        <v>✅ 全部通過</v>
      </c>
    </row>
    <row r="32" customFormat="false" ht="16.5" hidden="false" customHeight="true" outlineLevel="0" collapsed="false">
      <c r="A32" s="22" t="s">
        <v>162</v>
      </c>
      <c r="B32" s="26" t="n">
        <f aca="false">IF($B$5="簡支梁",48*E16*E12*B28/(DB_Settings!$G$2*$B$10^3),3*E16*E12*B28/(DB_Settings!$G$2*$B$10^3))</f>
        <v>168.57787452418</v>
      </c>
      <c r="D32" s="36" t="s">
        <v>163</v>
      </c>
      <c r="E32" s="41" t="str">
        <f aca="false">IF(COUNTA(E25:E27)=0,"",IF(E27&gt;=MAX(E25:E27),"撓度",IF(E25&gt;=MAX(E25:E27),"彎曲","剪力")))</f>
        <v>撓度</v>
      </c>
      <c r="I32" s="9" t="str">
        <f aca="false">IF(E32="","","💡 「"&amp;E32&amp;"」決定上限 → "&amp;IF(E32="撓度","梁會彎太多",IF(E32="彎曲","梁會被彎斷","梁會被剪斷")))</f>
        <v>💡 「撓度」決定上限 → 梁會彎太多</v>
      </c>
    </row>
    <row r="33" customFormat="false" ht="16.5" hidden="false" customHeight="true" outlineLevel="0" collapsed="false">
      <c r="A33" s="22" t="s">
        <v>164</v>
      </c>
      <c r="B33" s="26" t="n">
        <f aca="false">MIN(B30,B31,B32)</f>
        <v>168.57787452418</v>
      </c>
      <c r="D33" s="36" t="s">
        <v>165</v>
      </c>
      <c r="E33" s="39" t="str">
        <f aca="false">IF(COUNTA(E28:E30)=0,"",IF(OR(E28="NG",E29="NG",E30="NG"),"NG","OK"))</f>
        <v>OK</v>
      </c>
      <c r="I33" s="9" t="str">
        <f aca="false">IF(E33="","",IF(E33="OK","🟢 安全！可以使用","🔴 不安全！你填的荷重 "&amp;B13&amp;" kg 超過額定值 "&amp;ROUND(B34,0)&amp;" kg，請減少荷重或換大斷面"))</f>
        <v>🟢 安全！可以使用</v>
      </c>
    </row>
    <row r="34" customFormat="false" ht="16.5" hidden="false" customHeight="true" outlineLevel="0" collapsed="false">
      <c r="A34" s="22" t="s">
        <v>166</v>
      </c>
      <c r="B34" s="26" t="n">
        <f aca="false">IF($B$15&gt;0,B33/$B$15,0)</f>
        <v>134.862299619344</v>
      </c>
      <c r="I34" s="9" t="str">
        <f aca="false">IF(B34="","",IF(B15&gt;1,"🏋 你填的集中荷重（B13）不要超過 "&amp;ROUND(B34,0)&amp;" kg（已扣除 "&amp;B15&amp;" 倍安全係數）","🏋 集中荷重不要超過 "&amp;ROUND(B33,0)&amp;" kg"))</f>
        <v>🏋 你填的集中荷重（B13）不要超過 135 kg（已扣除 1.25 倍安全係數）</v>
      </c>
    </row>
    <row r="36" customFormat="false" ht="16.5" hidden="false" customHeight="true" outlineLevel="0" collapsed="false">
      <c r="A36" s="22" t="s">
        <v>167</v>
      </c>
      <c r="B36" s="26" t="n">
        <f aca="false">IF($B$5="簡支梁",8*B26/($B$10/1000)^2,2*B26/($B$10/1000)^2)</f>
        <v>116.544262478749</v>
      </c>
    </row>
    <row r="37" customFormat="false" ht="16.5" hidden="false" customHeight="true" outlineLevel="0" collapsed="false">
      <c r="A37" s="22" t="s">
        <v>168</v>
      </c>
      <c r="B37" s="26" t="n">
        <f aca="false">IF($B$5="簡支梁",2*B27/($B$10/1000),B27/($B$10/1000))</f>
        <v>1367.13183854918</v>
      </c>
    </row>
    <row r="38" customFormat="false" ht="16.5" hidden="false" customHeight="true" outlineLevel="0" collapsed="false">
      <c r="A38" s="22" t="s">
        <v>169</v>
      </c>
      <c r="B38" s="26" t="n">
        <f aca="false">IF($B$5="簡支梁",384*E16*E12*B28*1000/(5*DB_Settings!$G$2*$B$10^4),8*E16*E12*B28*1000/(DB_Settings!$G$2*$B$10^4))</f>
        <v>44.9540998731146</v>
      </c>
    </row>
    <row r="39" customFormat="false" ht="16.5" hidden="false" customHeight="true" outlineLevel="0" collapsed="false">
      <c r="A39" s="22" t="s">
        <v>170</v>
      </c>
      <c r="B39" s="26" t="n">
        <f aca="false">MIN(B36,B37,B38)</f>
        <v>44.9540998731146</v>
      </c>
      <c r="I39" s="9" t="str">
        <f aca="false">IF(B39="","",IF(B15&gt;1,"🏋 均佈活載不要超過 "&amp;ROUND(B39/B15,1)&amp;" kg/m（已扣除 "&amp;B15&amp;" 倍安全係數）","🏋 均佈活載不要超過 "&amp;ROUND(B39,1)&amp;" kg/m"))</f>
        <v>🏋 均佈活載不要超過 36 kg/m（已扣除 1.25 倍安全係數）</v>
      </c>
    </row>
    <row r="42" customFormat="false" ht="15" hidden="false" customHeight="true" outlineLevel="0" collapsed="false">
      <c r="A42" s="21" t="s">
        <v>171</v>
      </c>
      <c r="B42" s="21"/>
    </row>
    <row r="43" customFormat="false" ht="16.5" hidden="false" customHeight="true" outlineLevel="0" collapsed="false">
      <c r="A43" s="22" t="s">
        <v>172</v>
      </c>
      <c r="B43" s="31" t="s">
        <v>173</v>
      </c>
      <c r="C43" s="31"/>
      <c r="D43" s="31"/>
      <c r="E43" s="31"/>
      <c r="F43" s="31"/>
      <c r="G43" s="31"/>
      <c r="H43" s="31"/>
    </row>
    <row r="44" customFormat="false" ht="16.5" hidden="false" customHeight="true" outlineLevel="0" collapsed="false">
      <c r="A44" s="22" t="s">
        <v>174</v>
      </c>
      <c r="B44" s="31" t="s">
        <v>175</v>
      </c>
      <c r="C44" s="31"/>
      <c r="D44" s="31"/>
      <c r="E44" s="31"/>
      <c r="F44" s="31"/>
      <c r="G44" s="31"/>
      <c r="H44" s="31"/>
    </row>
    <row r="45" customFormat="false" ht="15" hidden="false" customHeight="true" outlineLevel="0" collapsed="false">
      <c r="A45" s="22" t="s">
        <v>176</v>
      </c>
      <c r="B45" s="31" t="str">
        <f aca="false">IF($B$5="簡支梁",IF($B$6="集中荷重","Mmax = P×L/4 + w×L²/8","Mmax = w×L²/8"),IF($B$6="集中荷重","Mmax = P×L + w×L²/2","Mmax = w×L²/2"))</f>
        <v>Mmax = P×L/4 + w×L²/8</v>
      </c>
      <c r="C45" s="31"/>
      <c r="D45" s="31"/>
      <c r="E45" s="31"/>
      <c r="F45" s="31"/>
      <c r="G45" s="31"/>
      <c r="H45" s="31"/>
    </row>
    <row r="46" customFormat="false" ht="15" hidden="false" customHeight="true" outlineLevel="0" collapsed="false">
      <c r="A46" s="22" t="s">
        <v>177</v>
      </c>
      <c r="B46" s="31" t="str">
        <f aca="false">IF($B$5="簡支梁",IF($B$6="集中荷重","Vmax = P/2 + w×L/2","Vmax = w×L/2"),IF($B$6="集中荷重","Vmax = P + w×L","Vmax = w×L"))</f>
        <v>Vmax = P/2 + w×L/2</v>
      </c>
      <c r="C46" s="31"/>
      <c r="D46" s="31"/>
      <c r="E46" s="31"/>
      <c r="F46" s="31"/>
      <c r="G46" s="31"/>
      <c r="H46" s="31"/>
    </row>
    <row r="47" customFormat="false" ht="15" hidden="false" customHeight="true" outlineLevel="0" collapsed="false">
      <c r="A47" s="22" t="s">
        <v>178</v>
      </c>
      <c r="B47" s="31" t="str">
        <f aca="false">IF($B$5="簡支梁",IF($B$6="集中荷重","Δ = P×L³/(48EI) + 5wL⁴/(384EI)","Δ = 5wL⁴/(384EI)"),IF($B$6="集中荷重","Δ = P×L³/(3EI) + wL⁴/(8EI)","Δ = wL⁴/(8EI)"))</f>
        <v>Δ = P×L³/(48EI) + 5wL⁴/(384EI)</v>
      </c>
      <c r="C47" s="31"/>
      <c r="D47" s="31"/>
      <c r="E47" s="31"/>
      <c r="F47" s="31"/>
      <c r="G47" s="31"/>
      <c r="H47" s="31"/>
    </row>
    <row r="48" customFormat="false" ht="15" hidden="false" customHeight="true" outlineLevel="0" collapsed="false">
      <c r="A48" s="25" t="s">
        <v>179</v>
      </c>
      <c r="B48" s="31" t="s">
        <v>179</v>
      </c>
      <c r="C48" s="31"/>
      <c r="D48" s="31"/>
      <c r="E48" s="31"/>
      <c r="F48" s="31"/>
      <c r="G48" s="31"/>
      <c r="H48" s="31"/>
    </row>
    <row r="49" customFormat="false" ht="15" hidden="false" customHeight="true" outlineLevel="0" collapsed="false">
      <c r="A49" s="25" t="s">
        <v>180</v>
      </c>
      <c r="B49" s="31" t="s">
        <v>180</v>
      </c>
      <c r="C49" s="31"/>
      <c r="D49" s="31"/>
      <c r="E49" s="31"/>
      <c r="F49" s="31"/>
      <c r="G49" s="31"/>
      <c r="H49" s="31"/>
    </row>
    <row r="50" customFormat="false" ht="16.5" hidden="false" customHeight="true" outlineLevel="0" collapsed="false">
      <c r="A50" s="22" t="s">
        <v>72</v>
      </c>
      <c r="B50" s="31" t="s">
        <v>181</v>
      </c>
      <c r="C50" s="31"/>
      <c r="D50" s="31"/>
      <c r="E50" s="31"/>
      <c r="F50" s="31"/>
      <c r="G50" s="31"/>
      <c r="H50" s="31"/>
    </row>
    <row r="51" customFormat="false" ht="16.5" hidden="false" customHeight="true" outlineLevel="0" collapsed="false">
      <c r="A51" s="22" t="s">
        <v>182</v>
      </c>
      <c r="B51" s="31" t="s">
        <v>183</v>
      </c>
      <c r="C51" s="31"/>
      <c r="D51" s="31"/>
      <c r="E51" s="31"/>
      <c r="F51" s="31"/>
      <c r="G51" s="31"/>
      <c r="H51" s="31"/>
    </row>
    <row r="52" customFormat="false" ht="16.5" hidden="false" customHeight="true" outlineLevel="0" collapsed="false">
      <c r="A52" s="22" t="s">
        <v>184</v>
      </c>
      <c r="B52" s="31" t="s">
        <v>185</v>
      </c>
      <c r="C52" s="31"/>
      <c r="D52" s="31"/>
      <c r="E52" s="31"/>
      <c r="F52" s="31"/>
      <c r="G52" s="31"/>
      <c r="H52" s="31"/>
    </row>
    <row r="53" customFormat="false" ht="16.5" hidden="false" customHeight="true" outlineLevel="0" collapsed="false">
      <c r="A53" s="22" t="s">
        <v>186</v>
      </c>
      <c r="B53" s="31" t="s">
        <v>183</v>
      </c>
      <c r="C53" s="31"/>
      <c r="D53" s="31"/>
      <c r="E53" s="31"/>
      <c r="F53" s="31"/>
      <c r="G53" s="31"/>
      <c r="H53" s="31"/>
    </row>
    <row r="54" customFormat="false" ht="16.5" hidden="false" customHeight="true" outlineLevel="0" collapsed="false">
      <c r="A54" s="25" t="s">
        <v>187</v>
      </c>
      <c r="B54" s="31" t="s">
        <v>188</v>
      </c>
      <c r="C54" s="31"/>
      <c r="D54" s="31"/>
      <c r="E54" s="31"/>
      <c r="F54" s="31"/>
      <c r="G54" s="31"/>
      <c r="H54" s="31"/>
    </row>
    <row r="55" customFormat="false" ht="15" hidden="false" customHeight="true" outlineLevel="0" collapsed="false">
      <c r="A55" s="42" t="s">
        <v>189</v>
      </c>
      <c r="B55" s="1" t="s">
        <v>190</v>
      </c>
    </row>
    <row r="56" customFormat="false" ht="24" hidden="false" customHeight="true" outlineLevel="0" collapsed="false">
      <c r="A56" s="21" t="s">
        <v>191</v>
      </c>
      <c r="B56" s="21"/>
      <c r="C56" s="21"/>
      <c r="D56" s="21"/>
      <c r="E56" s="21"/>
      <c r="F56" s="21"/>
      <c r="G56" s="21"/>
      <c r="H56" s="21"/>
    </row>
    <row r="57" customFormat="false" ht="21.75" hidden="false" customHeight="true" outlineLevel="0" collapsed="false">
      <c r="A57" s="43" t="s">
        <v>192</v>
      </c>
      <c r="B57" s="43"/>
      <c r="C57" s="43"/>
      <c r="D57" s="43"/>
      <c r="E57" s="43"/>
      <c r="F57" s="43"/>
      <c r="G57" s="43"/>
      <c r="H57" s="43"/>
    </row>
    <row r="58" customFormat="false" ht="21.75" hidden="false" customHeight="true" outlineLevel="0" collapsed="false">
      <c r="A58" s="42" t="s">
        <v>193</v>
      </c>
      <c r="B58" s="1" t="s">
        <v>194</v>
      </c>
    </row>
    <row r="59" customFormat="false" ht="21.75" hidden="false" customHeight="true" outlineLevel="0" collapsed="false">
      <c r="A59" s="21" t="s">
        <v>195</v>
      </c>
      <c r="B59" s="21"/>
      <c r="C59" s="21"/>
      <c r="D59" s="21"/>
      <c r="E59" s="21"/>
      <c r="F59" s="21"/>
      <c r="G59" s="21"/>
      <c r="H59" s="21"/>
    </row>
    <row r="60" customFormat="false" ht="21.75" hidden="false" customHeight="true" outlineLevel="0" collapsed="false">
      <c r="A60" s="43" t="s">
        <v>196</v>
      </c>
      <c r="B60" s="43"/>
      <c r="C60" s="43"/>
      <c r="D60" s="43"/>
      <c r="E60" s="43"/>
      <c r="F60" s="43"/>
      <c r="G60" s="43"/>
      <c r="H60" s="43"/>
    </row>
    <row r="61" customFormat="false" ht="21.75" hidden="false" customHeight="true" outlineLevel="0" collapsed="false">
      <c r="A61" s="21" t="s">
        <v>197</v>
      </c>
      <c r="B61" s="21" t="s">
        <v>198</v>
      </c>
      <c r="C61" s="21" t="s">
        <v>106</v>
      </c>
      <c r="D61" s="21"/>
      <c r="E61" s="21"/>
      <c r="F61" s="21"/>
      <c r="G61" s="21"/>
      <c r="H61" s="21"/>
    </row>
    <row r="62" customFormat="false" ht="21.75" hidden="false" customHeight="true" outlineLevel="0" collapsed="false">
      <c r="A62" s="22" t="s">
        <v>78</v>
      </c>
      <c r="B62" s="44" t="s">
        <v>79</v>
      </c>
      <c r="C62" s="45" t="s">
        <v>199</v>
      </c>
      <c r="D62" s="45"/>
      <c r="E62" s="45"/>
      <c r="F62" s="45"/>
      <c r="G62" s="45"/>
      <c r="H62" s="45"/>
    </row>
    <row r="63" customFormat="false" ht="21.75" hidden="false" customHeight="true" outlineLevel="0" collapsed="false">
      <c r="A63" s="22" t="s">
        <v>83</v>
      </c>
      <c r="B63" s="44" t="s">
        <v>84</v>
      </c>
      <c r="C63" s="45" t="s">
        <v>200</v>
      </c>
      <c r="D63" s="45"/>
      <c r="E63" s="45"/>
      <c r="F63" s="45"/>
      <c r="G63" s="45"/>
      <c r="H63" s="45"/>
    </row>
    <row r="64" customFormat="false" ht="21.75" hidden="false" customHeight="true" outlineLevel="0" collapsed="false">
      <c r="A64" s="22" t="s">
        <v>88</v>
      </c>
      <c r="B64" s="44" t="s">
        <v>201</v>
      </c>
      <c r="C64" s="45" t="s">
        <v>202</v>
      </c>
      <c r="D64" s="45"/>
      <c r="E64" s="45"/>
      <c r="F64" s="45"/>
      <c r="G64" s="45"/>
      <c r="H64" s="45"/>
    </row>
    <row r="65" customFormat="false" ht="21.75" hidden="false" customHeight="true" outlineLevel="0" collapsed="false">
      <c r="A65" s="22" t="s">
        <v>203</v>
      </c>
      <c r="B65" s="44" t="s">
        <v>204</v>
      </c>
      <c r="C65" s="45" t="s">
        <v>205</v>
      </c>
      <c r="D65" s="45"/>
      <c r="E65" s="45"/>
      <c r="F65" s="45"/>
      <c r="G65" s="45"/>
      <c r="H65" s="45"/>
    </row>
    <row r="66" customFormat="false" ht="21.75" hidden="false" customHeight="true" outlineLevel="0" collapsed="false">
      <c r="A66" s="22" t="s">
        <v>206</v>
      </c>
      <c r="B66" s="44" t="s">
        <v>207</v>
      </c>
      <c r="C66" s="45" t="s">
        <v>208</v>
      </c>
      <c r="D66" s="45"/>
      <c r="E66" s="45"/>
      <c r="F66" s="45"/>
      <c r="G66" s="45"/>
      <c r="H66" s="45"/>
    </row>
    <row r="67" customFormat="false" ht="21.75" hidden="false" customHeight="true" outlineLevel="0" collapsed="false">
      <c r="A67" s="22" t="s">
        <v>89</v>
      </c>
      <c r="B67" s="46" t="s">
        <v>209</v>
      </c>
      <c r="C67" s="45" t="s">
        <v>210</v>
      </c>
      <c r="D67" s="45"/>
      <c r="E67" s="45"/>
      <c r="F67" s="45"/>
      <c r="G67" s="45"/>
      <c r="H67" s="45"/>
    </row>
    <row r="68" customFormat="false" ht="21.75" hidden="false" customHeight="true" outlineLevel="0" collapsed="false">
      <c r="A68" s="22" t="s">
        <v>211</v>
      </c>
      <c r="B68" s="44" t="s">
        <v>131</v>
      </c>
      <c r="C68" s="45" t="s">
        <v>212</v>
      </c>
      <c r="D68" s="45"/>
      <c r="E68" s="45"/>
      <c r="F68" s="45"/>
      <c r="G68" s="45"/>
      <c r="H68" s="45"/>
    </row>
    <row r="69" customFormat="false" ht="21.75" hidden="false" customHeight="true" outlineLevel="0" collapsed="false"/>
    <row r="70" customFormat="false" ht="21.75" hidden="false" customHeight="true" outlineLevel="0" collapsed="false">
      <c r="A70" s="21" t="s">
        <v>213</v>
      </c>
      <c r="B70" s="21"/>
      <c r="C70" s="21"/>
      <c r="D70" s="21"/>
      <c r="E70" s="21"/>
      <c r="F70" s="21"/>
      <c r="G70" s="21"/>
      <c r="H70" s="21"/>
    </row>
    <row r="71" customFormat="false" ht="21.75" hidden="false" customHeight="true" outlineLevel="0" collapsed="false">
      <c r="A71" s="43" t="s">
        <v>214</v>
      </c>
      <c r="B71" s="43"/>
      <c r="C71" s="43"/>
      <c r="D71" s="43"/>
      <c r="E71" s="43"/>
      <c r="F71" s="43"/>
      <c r="G71" s="43"/>
      <c r="H71" s="43"/>
    </row>
    <row r="72" customFormat="false" ht="21.75" hidden="false" customHeight="true" outlineLevel="0" collapsed="false">
      <c r="A72" s="21" t="s">
        <v>197</v>
      </c>
      <c r="B72" s="21" t="s">
        <v>198</v>
      </c>
      <c r="C72" s="21" t="s">
        <v>106</v>
      </c>
      <c r="D72" s="21"/>
      <c r="E72" s="21"/>
      <c r="F72" s="21"/>
      <c r="G72" s="21"/>
      <c r="H72" s="21"/>
    </row>
    <row r="73" customFormat="false" ht="21.75" hidden="false" customHeight="true" outlineLevel="0" collapsed="false">
      <c r="A73" s="22" t="s">
        <v>78</v>
      </c>
      <c r="B73" s="44" t="s">
        <v>79</v>
      </c>
      <c r="C73" s="45" t="s">
        <v>215</v>
      </c>
      <c r="D73" s="45"/>
      <c r="E73" s="45"/>
      <c r="F73" s="45"/>
      <c r="G73" s="45"/>
      <c r="H73" s="45"/>
    </row>
    <row r="74" customFormat="false" ht="21.75" hidden="false" customHeight="true" outlineLevel="0" collapsed="false">
      <c r="A74" s="22" t="s">
        <v>83</v>
      </c>
      <c r="B74" s="44" t="s">
        <v>84</v>
      </c>
      <c r="C74" s="45" t="s">
        <v>216</v>
      </c>
      <c r="D74" s="45"/>
      <c r="E74" s="45"/>
      <c r="F74" s="45"/>
      <c r="G74" s="45"/>
      <c r="H74" s="45"/>
    </row>
    <row r="75" customFormat="false" ht="21.75" hidden="false" customHeight="true" outlineLevel="0" collapsed="false">
      <c r="A75" s="22" t="s">
        <v>88</v>
      </c>
      <c r="B75" s="44" t="s">
        <v>89</v>
      </c>
      <c r="C75" s="45" t="s">
        <v>217</v>
      </c>
      <c r="D75" s="45"/>
      <c r="E75" s="45"/>
      <c r="F75" s="45"/>
      <c r="G75" s="45"/>
      <c r="H75" s="45"/>
    </row>
    <row r="76" customFormat="false" ht="21.75" hidden="false" customHeight="true" outlineLevel="0" collapsed="false">
      <c r="A76" s="22" t="s">
        <v>203</v>
      </c>
      <c r="B76" s="44" t="s">
        <v>204</v>
      </c>
      <c r="C76" s="45" t="s">
        <v>218</v>
      </c>
      <c r="D76" s="45"/>
      <c r="E76" s="45"/>
      <c r="F76" s="45"/>
      <c r="G76" s="45"/>
      <c r="H76" s="45"/>
    </row>
    <row r="77" customFormat="false" ht="21.75" hidden="false" customHeight="true" outlineLevel="0" collapsed="false">
      <c r="A77" s="22" t="s">
        <v>206</v>
      </c>
      <c r="B77" s="46" t="s">
        <v>209</v>
      </c>
      <c r="C77" s="45" t="s">
        <v>219</v>
      </c>
      <c r="D77" s="45"/>
      <c r="E77" s="45"/>
      <c r="F77" s="45"/>
      <c r="G77" s="45"/>
      <c r="H77" s="45"/>
    </row>
    <row r="78" customFormat="false" ht="21.75" hidden="false" customHeight="true" outlineLevel="0" collapsed="false">
      <c r="A78" s="22" t="s">
        <v>89</v>
      </c>
      <c r="B78" s="44" t="s">
        <v>220</v>
      </c>
      <c r="C78" s="45" t="s">
        <v>221</v>
      </c>
      <c r="D78" s="45"/>
      <c r="E78" s="45"/>
      <c r="F78" s="45"/>
      <c r="G78" s="45"/>
      <c r="H78" s="45"/>
    </row>
    <row r="79" customFormat="false" ht="21.75" hidden="false" customHeight="true" outlineLevel="0" collapsed="false">
      <c r="A79" s="22" t="s">
        <v>211</v>
      </c>
      <c r="B79" s="44" t="s">
        <v>222</v>
      </c>
      <c r="C79" s="45" t="s">
        <v>223</v>
      </c>
      <c r="D79" s="45"/>
      <c r="E79" s="45"/>
      <c r="F79" s="45"/>
      <c r="G79" s="45"/>
      <c r="H79" s="45"/>
    </row>
    <row r="80" customFormat="false" ht="21.75" hidden="false" customHeight="true" outlineLevel="0" collapsed="false"/>
    <row r="81" customFormat="false" ht="21.75" hidden="false" customHeight="true" outlineLevel="0" collapsed="false">
      <c r="A81" s="21" t="s">
        <v>224</v>
      </c>
      <c r="B81" s="21"/>
      <c r="C81" s="21"/>
      <c r="D81" s="21"/>
      <c r="E81" s="21"/>
      <c r="F81" s="21"/>
      <c r="G81" s="21"/>
      <c r="H81" s="21"/>
    </row>
    <row r="82" customFormat="false" ht="21.75" hidden="false" customHeight="true" outlineLevel="0" collapsed="false">
      <c r="A82" s="43" t="s">
        <v>225</v>
      </c>
      <c r="B82" s="43"/>
      <c r="C82" s="43"/>
      <c r="D82" s="43"/>
      <c r="E82" s="43"/>
      <c r="F82" s="43"/>
      <c r="G82" s="43"/>
      <c r="H82" s="43"/>
    </row>
    <row r="83" customFormat="false" ht="21.75" hidden="false" customHeight="true" outlineLevel="0" collapsed="false">
      <c r="A83" s="21" t="s">
        <v>197</v>
      </c>
      <c r="B83" s="21" t="s">
        <v>198</v>
      </c>
      <c r="C83" s="21" t="s">
        <v>106</v>
      </c>
      <c r="D83" s="21"/>
      <c r="E83" s="21"/>
      <c r="F83" s="21"/>
      <c r="G83" s="21"/>
      <c r="H83" s="21"/>
    </row>
    <row r="84" customFormat="false" ht="21.75" hidden="false" customHeight="true" outlineLevel="0" collapsed="false">
      <c r="A84" s="22" t="s">
        <v>78</v>
      </c>
      <c r="B84" s="44" t="s">
        <v>226</v>
      </c>
      <c r="C84" s="47" t="s">
        <v>227</v>
      </c>
      <c r="D84" s="47"/>
      <c r="E84" s="47"/>
      <c r="F84" s="47"/>
      <c r="G84" s="47"/>
      <c r="H84" s="47"/>
    </row>
    <row r="85" customFormat="false" ht="21.75" hidden="false" customHeight="true" outlineLevel="0" collapsed="false">
      <c r="A85" s="22" t="s">
        <v>83</v>
      </c>
      <c r="B85" s="44" t="s">
        <v>84</v>
      </c>
      <c r="C85" s="45" t="s">
        <v>228</v>
      </c>
      <c r="D85" s="45"/>
      <c r="E85" s="45"/>
      <c r="F85" s="45"/>
      <c r="G85" s="45"/>
      <c r="H85" s="45"/>
    </row>
    <row r="86" customFormat="false" ht="21.75" hidden="false" customHeight="true" outlineLevel="0" collapsed="false">
      <c r="A86" s="22" t="s">
        <v>88</v>
      </c>
      <c r="B86" s="44" t="s">
        <v>89</v>
      </c>
      <c r="C86" s="45" t="s">
        <v>229</v>
      </c>
      <c r="D86" s="45"/>
      <c r="E86" s="45"/>
      <c r="F86" s="45"/>
      <c r="G86" s="45"/>
      <c r="H86" s="45"/>
    </row>
    <row r="87" customFormat="false" ht="21.75" hidden="false" customHeight="true" outlineLevel="0" collapsed="false">
      <c r="A87" s="22" t="s">
        <v>203</v>
      </c>
      <c r="B87" s="44" t="s">
        <v>204</v>
      </c>
      <c r="C87" s="45" t="s">
        <v>230</v>
      </c>
      <c r="D87" s="45"/>
      <c r="E87" s="45"/>
      <c r="F87" s="45"/>
      <c r="G87" s="45"/>
      <c r="H87" s="45"/>
    </row>
    <row r="88" customFormat="false" ht="21.75" hidden="false" customHeight="true" outlineLevel="0" collapsed="false">
      <c r="A88" s="22" t="s">
        <v>206</v>
      </c>
      <c r="B88" s="46" t="s">
        <v>209</v>
      </c>
      <c r="C88" s="45" t="s">
        <v>231</v>
      </c>
      <c r="D88" s="45"/>
      <c r="E88" s="45"/>
      <c r="F88" s="45"/>
      <c r="G88" s="45"/>
      <c r="H88" s="45"/>
    </row>
    <row r="89" customFormat="false" ht="21.75" hidden="false" customHeight="true" outlineLevel="0" collapsed="false">
      <c r="A89" s="22" t="s">
        <v>89</v>
      </c>
      <c r="B89" s="44" t="s">
        <v>232</v>
      </c>
      <c r="C89" s="45" t="s">
        <v>233</v>
      </c>
      <c r="D89" s="45"/>
      <c r="E89" s="45"/>
      <c r="F89" s="45"/>
      <c r="G89" s="45"/>
      <c r="H89" s="45"/>
    </row>
    <row r="90" customFormat="false" ht="21.75" hidden="false" customHeight="true" outlineLevel="0" collapsed="false">
      <c r="A90" s="22" t="s">
        <v>127</v>
      </c>
      <c r="B90" s="46" t="s">
        <v>234</v>
      </c>
      <c r="C90" s="45" t="s">
        <v>235</v>
      </c>
      <c r="D90" s="45"/>
      <c r="E90" s="45"/>
      <c r="F90" s="45"/>
      <c r="G90" s="45"/>
      <c r="H90" s="45"/>
    </row>
    <row r="91" customFormat="false" ht="21.75" hidden="false" customHeight="true" outlineLevel="0" collapsed="false">
      <c r="A91" s="22" t="s">
        <v>211</v>
      </c>
      <c r="B91" s="44" t="s">
        <v>236</v>
      </c>
      <c r="C91" s="45" t="s">
        <v>237</v>
      </c>
      <c r="D91" s="45"/>
      <c r="E91" s="45"/>
      <c r="F91" s="45"/>
      <c r="G91" s="45"/>
      <c r="H91" s="45"/>
    </row>
    <row r="92" customFormat="false" ht="21.75" hidden="false" customHeight="true" outlineLevel="0" collapsed="false"/>
  </sheetData>
  <mergeCells count="58">
    <mergeCell ref="A1:H1"/>
    <mergeCell ref="A3:C3"/>
    <mergeCell ref="D3:E3"/>
    <mergeCell ref="G3:H3"/>
    <mergeCell ref="G11:H11"/>
    <mergeCell ref="G12:H12"/>
    <mergeCell ref="G13:H13"/>
    <mergeCell ref="G14:H14"/>
    <mergeCell ref="G15:H15"/>
    <mergeCell ref="G16:H16"/>
    <mergeCell ref="A19:B19"/>
    <mergeCell ref="D19:E19"/>
    <mergeCell ref="A42:B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A56:H56"/>
    <mergeCell ref="A57:H57"/>
    <mergeCell ref="A59:H59"/>
    <mergeCell ref="A60:H60"/>
    <mergeCell ref="C61:H61"/>
    <mergeCell ref="C62:H62"/>
    <mergeCell ref="C63:H63"/>
    <mergeCell ref="C64:H64"/>
    <mergeCell ref="C65:H65"/>
    <mergeCell ref="C66:H66"/>
    <mergeCell ref="C67:H67"/>
    <mergeCell ref="C68:H68"/>
    <mergeCell ref="A70:H70"/>
    <mergeCell ref="A71:H71"/>
    <mergeCell ref="C72:H72"/>
    <mergeCell ref="C73:H73"/>
    <mergeCell ref="C74:H74"/>
    <mergeCell ref="C75:H75"/>
    <mergeCell ref="C76:H76"/>
    <mergeCell ref="C77:H77"/>
    <mergeCell ref="C78:H78"/>
    <mergeCell ref="C79:H79"/>
    <mergeCell ref="A81:H81"/>
    <mergeCell ref="A82:H82"/>
    <mergeCell ref="C83:H83"/>
    <mergeCell ref="C84:H84"/>
    <mergeCell ref="C85:H85"/>
    <mergeCell ref="C86:H86"/>
    <mergeCell ref="C87:H87"/>
    <mergeCell ref="C88:H88"/>
    <mergeCell ref="C89:H89"/>
    <mergeCell ref="C90:H90"/>
    <mergeCell ref="C91:H91"/>
  </mergeCells>
  <conditionalFormatting sqref="E28:E30">
    <cfRule type="expression" priority="2" aboveAverage="0" equalAverage="0" bottom="0" percent="0" rank="0" text="" dxfId="0">
      <formula>E28="OK"</formula>
    </cfRule>
    <cfRule type="expression" priority="3" aboveAverage="0" equalAverage="0" bottom="0" percent="0" rank="0" text="" dxfId="1">
      <formula>E28="NG"</formula>
    </cfRule>
  </conditionalFormatting>
  <conditionalFormatting sqref="E33">
    <cfRule type="expression" priority="4" aboveAverage="0" equalAverage="0" bottom="0" percent="0" rank="0" text="" dxfId="0">
      <formula>E33="OK"</formula>
    </cfRule>
    <cfRule type="expression" priority="5" aboveAverage="0" equalAverage="0" bottom="0" percent="0" rank="0" text="" dxfId="1">
      <formula>E33="NG"</formula>
    </cfRule>
  </conditionalFormatting>
  <dataValidations count="8">
    <dataValidation allowBlank="false" errorStyle="stop" operator="between" showDropDown="false" showErrorMessage="false" showInputMessage="false" sqref="B4" type="list">
      <formula1>"一般鋼梁,天車梁(Monorail)"</formula1>
      <formula2>0</formula2>
    </dataValidation>
    <dataValidation allowBlank="false" errorStyle="stop" operator="between" showDropDown="false" showErrorMessage="false" showInputMessage="false" sqref="B5" type="list">
      <formula1>"簡支梁,懸臂梁"</formula1>
      <formula2>0</formula2>
    </dataValidation>
    <dataValidation allowBlank="false" errorStyle="stop" operator="between" showDropDown="false" showErrorMessage="false" showInputMessage="false" sqref="B6" type="list">
      <formula1>"集中荷重,均佈荷重"</formula1>
      <formula2>0</formula2>
    </dataValidation>
    <dataValidation allowBlank="false" errorStyle="stop" operator="between" showDropDown="false" showErrorMessage="false" showInputMessage="false" sqref="B8" type="list">
      <formula1>INDIRECT($K$2)</formula1>
      <formula2>0</formula2>
    </dataValidation>
    <dataValidation allowBlank="false" errorStyle="stop" operator="between" showDropDown="false" showErrorMessage="false" showInputMessage="false" sqref="B9" type="list">
      <formula1>DB_Settings!$A$2:$A$6</formula1>
      <formula2>0</formula2>
    </dataValidation>
    <dataValidation allowBlank="false" errorStyle="stop" operator="between" showDropDown="false" showErrorMessage="false" showInputMessage="false" sqref="B11" type="list">
      <formula1>"是,否"</formula1>
      <formula2>0</formula2>
    </dataValidation>
    <dataValidation allowBlank="false" errorStyle="stop" operator="between" showDropDown="false" showErrorMessage="false" showInputMessage="false" sqref="B16" type="list">
      <formula1>DB_Deflection!$A$2:$A$14</formula1>
      <formula2>0</formula2>
    </dataValidation>
    <dataValidation allowBlank="false" errorStyle="stop" operator="between" showDropDown="false" showErrorMessage="false" showInputMessage="false" sqref="B7" type="list">
      <formula1>DB_Settings!$J$2:$J$7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45"/>
    <col collapsed="false" customWidth="true" hidden="false" outlineLevel="0" max="7" min="7" style="1" width="12"/>
    <col collapsed="false" customWidth="true" hidden="false" outlineLevel="0" max="8" min="8" style="1" width="0.52"/>
  </cols>
  <sheetData>
    <row r="1" customFormat="false" ht="17.25" hidden="false" customHeight="true" outlineLevel="0" collapsed="false">
      <c r="A1" s="2" t="s">
        <v>238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48" t="s">
        <v>239</v>
      </c>
      <c r="B2" s="48"/>
      <c r="C2" s="48"/>
      <c r="D2" s="48"/>
      <c r="E2" s="48"/>
      <c r="F2" s="48"/>
    </row>
    <row r="3" customFormat="false" ht="15" hidden="false" customHeight="true" outlineLevel="0" collapsed="false">
      <c r="A3" s="17" t="s">
        <v>240</v>
      </c>
      <c r="B3" s="17"/>
      <c r="D3" s="17" t="s">
        <v>241</v>
      </c>
      <c r="E3" s="17"/>
      <c r="F3" s="9" t="s">
        <v>242</v>
      </c>
      <c r="G3" s="19" t="s">
        <v>243</v>
      </c>
      <c r="H3" s="19" t="s">
        <v>244</v>
      </c>
    </row>
    <row r="4" customFormat="false" ht="16.5" hidden="false" customHeight="true" outlineLevel="0" collapsed="false">
      <c r="A4" s="17" t="s">
        <v>81</v>
      </c>
      <c r="B4" s="49" t="s">
        <v>93</v>
      </c>
      <c r="D4" s="19" t="s">
        <v>86</v>
      </c>
      <c r="E4" s="6" t="n">
        <f aca="false">IF($B$6="","",VLOOKUP($B$6,DB_Settings!$A$2:$C$6,2,0))</f>
        <v>235.36</v>
      </c>
      <c r="F4" s="5" t="s">
        <v>245</v>
      </c>
      <c r="G4" s="50" t="n">
        <f aca="false">IF($B$6="","",VLOOKUP($B$6,DB_Settings!$A$2:$C$6,2,0))</f>
        <v>235.36</v>
      </c>
      <c r="H4" s="50" t="n">
        <f aca="false">IF($B$6="","",VLOOKUP($B$6,DB_Settings!$A$2:$C$6,3,0))</f>
        <v>200000</v>
      </c>
    </row>
    <row r="5" customFormat="false" ht="15" hidden="false" customHeight="true" outlineLevel="0" collapsed="false">
      <c r="A5" s="17" t="s">
        <v>97</v>
      </c>
      <c r="B5" s="49" t="s">
        <v>246</v>
      </c>
      <c r="D5" s="19" t="s">
        <v>91</v>
      </c>
      <c r="E5" s="6" t="n">
        <f aca="false">IF($B$5="","",VLOOKUP($B$5,DB_Sections!$A$2:$Q$500,4,0))</f>
        <v>200</v>
      </c>
      <c r="F5" s="5" t="s">
        <v>247</v>
      </c>
    </row>
    <row r="6" customFormat="false" ht="15" hidden="false" customHeight="true" outlineLevel="0" collapsed="false">
      <c r="A6" s="17" t="s">
        <v>102</v>
      </c>
      <c r="B6" s="49" t="s">
        <v>103</v>
      </c>
      <c r="D6" s="19" t="s">
        <v>95</v>
      </c>
      <c r="E6" s="6" t="n">
        <f aca="false">IF($B$5="","",VLOOKUP($B$5,DB_Sections!$A$2:$Q$500,5,0))</f>
        <v>8</v>
      </c>
      <c r="F6" s="5" t="s">
        <v>248</v>
      </c>
    </row>
    <row r="7" customFormat="false" ht="16.5" hidden="false" customHeight="true" outlineLevel="0" collapsed="false">
      <c r="A7" s="17" t="s">
        <v>249</v>
      </c>
      <c r="B7" s="49" t="n">
        <v>3000</v>
      </c>
      <c r="D7" s="19" t="s">
        <v>250</v>
      </c>
      <c r="E7" s="6" t="n">
        <f aca="false">IF($B$5="","",VLOOKUP($B$5,DB_Sections!$A$2:$Q$500,6,0))</f>
        <v>12</v>
      </c>
      <c r="F7" s="5" t="s">
        <v>251</v>
      </c>
    </row>
    <row r="8" customFormat="false" ht="16.5" hidden="false" customHeight="true" outlineLevel="0" collapsed="false">
      <c r="A8" s="17" t="s">
        <v>252</v>
      </c>
      <c r="B8" s="49" t="n">
        <v>1</v>
      </c>
      <c r="D8" s="19" t="s">
        <v>109</v>
      </c>
      <c r="E8" s="6" t="n">
        <f aca="false">IF($B$5="","",VLOOKUP($B$5,DB_Sections!$A$2:$Q$500,8,0))</f>
        <v>6208</v>
      </c>
      <c r="F8" s="5" t="s">
        <v>253</v>
      </c>
    </row>
    <row r="9" customFormat="false" ht="49.5" hidden="false" customHeight="true" outlineLevel="0" collapsed="false">
      <c r="A9" s="17" t="s">
        <v>254</v>
      </c>
      <c r="B9" s="49" t="n">
        <v>5000</v>
      </c>
      <c r="C9" s="51" t="s">
        <v>255</v>
      </c>
      <c r="D9" s="17" t="s">
        <v>113</v>
      </c>
      <c r="E9" s="6" t="n">
        <f aca="false">IF($B$5="","",VLOOKUP($B$5,DB_Sections!$A$2:$Q$500,9,0))</f>
        <v>48.7328</v>
      </c>
      <c r="F9" s="5" t="s">
        <v>256</v>
      </c>
    </row>
    <row r="10" customFormat="false" ht="49.5" hidden="false" customHeight="true" outlineLevel="0" collapsed="false">
      <c r="A10" s="17" t="s">
        <v>257</v>
      </c>
      <c r="B10" s="49" t="n">
        <v>200</v>
      </c>
      <c r="C10" s="51" t="s">
        <v>258</v>
      </c>
      <c r="D10" s="19" t="s">
        <v>117</v>
      </c>
      <c r="E10" s="6" t="n">
        <f aca="false">IF($B$5="","",VLOOKUP($B$5,DB_Sections!$A$2:$Q$500,10,0))</f>
        <v>46104917.3333333</v>
      </c>
      <c r="F10" s="5" t="s">
        <v>259</v>
      </c>
    </row>
    <row r="11" customFormat="false" ht="49.5" hidden="false" customHeight="true" outlineLevel="0" collapsed="false">
      <c r="A11" s="17" t="s">
        <v>260</v>
      </c>
      <c r="B11" s="49" t="n">
        <v>0</v>
      </c>
      <c r="C11" s="51" t="s">
        <v>261</v>
      </c>
      <c r="D11" s="19" t="s">
        <v>121</v>
      </c>
      <c r="E11" s="6" t="n">
        <f aca="false">IF($B$5="","",VLOOKUP($B$5,DB_Sections!$A$2:$Q$500,11,0))</f>
        <v>461049.173333333</v>
      </c>
      <c r="F11" s="5" t="s">
        <v>262</v>
      </c>
    </row>
    <row r="12" customFormat="false" ht="15" hidden="false" customHeight="true" outlineLevel="0" collapsed="false">
      <c r="A12" s="17" t="s">
        <v>110</v>
      </c>
      <c r="B12" s="52" t="s">
        <v>111</v>
      </c>
      <c r="D12" s="19" t="s">
        <v>263</v>
      </c>
      <c r="E12" s="6" t="n">
        <f aca="false">IF($B$5="","",VLOOKUP($B$5,DB_Sections!$A$2:$Q$500,15,0))</f>
        <v>16007509.3333333</v>
      </c>
      <c r="F12" s="5" t="s">
        <v>264</v>
      </c>
    </row>
    <row r="13" customFormat="false" ht="15" hidden="false" customHeight="true" outlineLevel="0" collapsed="false">
      <c r="D13" s="19" t="s">
        <v>265</v>
      </c>
      <c r="E13" s="6" t="n">
        <f aca="false">IF($B$5="","",VLOOKUP($B$5,DB_Sections!$A$2:$Q$500,16,0))</f>
        <v>86.1782696396</v>
      </c>
    </row>
    <row r="14" customFormat="false" ht="15" hidden="false" customHeight="true" outlineLevel="0" collapsed="false">
      <c r="D14" s="19" t="s">
        <v>266</v>
      </c>
      <c r="E14" s="6" t="n">
        <f aca="false">IF($B$5="","",VLOOKUP($B$5,DB_Sections!$A$2:$Q$500,17,0))</f>
        <v>50.7792202541748</v>
      </c>
    </row>
    <row r="15" customFormat="false" ht="15" hidden="false" customHeight="true" outlineLevel="0" collapsed="false">
      <c r="A15" s="17" t="s">
        <v>267</v>
      </c>
      <c r="B15" s="50" t="str">
        <f aca="false">IF(G4="","","Fy="&amp;ROUND(G4,1)&amp;" MPa, E="&amp;ROUND(H4,0)&amp;" MPa, Fb="&amp;ROUND(G4*0.66,1)&amp;" MPa")</f>
        <v>Fy=235.4 MPa, E=200000 MPa, Fb=155.3 MPa</v>
      </c>
    </row>
    <row r="16" customFormat="false" ht="15" hidden="false" customHeight="true" outlineLevel="0" collapsed="false">
      <c r="A16" s="17" t="s">
        <v>268</v>
      </c>
      <c r="B16" s="17"/>
      <c r="F16" s="9" t="s">
        <v>269</v>
      </c>
    </row>
    <row r="17" customFormat="false" ht="16.5" hidden="false" customHeight="true" outlineLevel="0" collapsed="false">
      <c r="A17" s="17" t="s">
        <v>270</v>
      </c>
      <c r="B17" s="6" t="n">
        <f aca="false">IF($B$12="是",E9*$B$7/1000,0)</f>
        <v>146.1984</v>
      </c>
      <c r="F17" s="9" t="str">
        <f aca="false">IF(B17="","","📌 柱子自重 = "&amp;ROUND(B17,1)&amp;" kg")</f>
        <v>📌 柱子自重 = 146.2 kg</v>
      </c>
    </row>
    <row r="18" customFormat="false" ht="16.5" hidden="false" customHeight="true" outlineLevel="0" collapsed="false">
      <c r="A18" s="17" t="s">
        <v>271</v>
      </c>
      <c r="B18" s="6" t="n">
        <f aca="false">$B$9+B17</f>
        <v>5146.1984</v>
      </c>
      <c r="F18" s="9" t="str">
        <f aca="false">IF(B18="","","📌 柱子承受的總壓力 = "&amp;ROUND(B18,0)&amp;" kg")</f>
        <v>📌 柱子承受的總壓力 = 5146 kg</v>
      </c>
    </row>
    <row r="19" customFormat="false" ht="16.5" hidden="false" customHeight="true" outlineLevel="0" collapsed="false">
      <c r="A19" s="17" t="s">
        <v>272</v>
      </c>
      <c r="B19" s="6" t="n">
        <f aca="false">IF(E14="","",$B$8*$B$7/E14)</f>
        <v>59.0792844983349</v>
      </c>
    </row>
    <row r="20" customFormat="false" ht="16.5" hidden="false" customHeight="true" outlineLevel="0" collapsed="false">
      <c r="A20" s="17" t="s">
        <v>273</v>
      </c>
      <c r="B20" s="6" t="n">
        <f aca="false">IF(OR(B19="",G4="",H4=""),"",IF(B19&lt;=SQRT(2*PI()^2*H4/G4),G4*(1-(B19^2)/(2*SQRT(2*PI()^2*H4/G4)^2))/(5/3+3*B19/(8*SQRT(2*PI()^2*H4/G4))-B19^3/(8*SQRT(2*PI()^2*H4/G4)^3)),12*PI()^2*H4/(23*B19^2)))</f>
        <v>115.491898216519</v>
      </c>
    </row>
    <row r="21" customFormat="false" ht="16.5" hidden="false" customHeight="true" outlineLevel="0" collapsed="false">
      <c r="A21" s="17" t="s">
        <v>274</v>
      </c>
      <c r="B21" s="6" t="n">
        <f aca="false">IF(B20="","",B20*E8/DB_Settings!$G$2)</f>
        <v>73110.9710378315</v>
      </c>
      <c r="F21" s="9" t="str">
        <f aca="false">IF(B21="","","🔧 這根柱子最多能撐 "&amp;ROUND(B21,0)&amp;" kg")</f>
        <v>🔧 這根柱子最多能撐 73111 kg</v>
      </c>
    </row>
    <row r="22" customFormat="false" ht="15" hidden="false" customHeight="true" outlineLevel="0" collapsed="false">
      <c r="A22" s="17" t="s">
        <v>275</v>
      </c>
      <c r="B22" s="53" t="n">
        <f aca="false">IF(OR(B20="",B20&lt;=0),"",B18*DB_Settings!$G$2/E8/B20)</f>
        <v>0.0703888667726364</v>
      </c>
      <c r="F22" s="9" t="str">
        <f aca="false">IF(B22="","","📊 軸力用了 "&amp;ROUND(B22*100,1)&amp;"% 的容許值")</f>
        <v>📊 軸力用了 7% 的容許值</v>
      </c>
    </row>
    <row r="23" customFormat="false" ht="15" hidden="false" customHeight="true" outlineLevel="0" collapsed="false">
      <c r="A23" s="17" t="s">
        <v>276</v>
      </c>
      <c r="B23" s="6" t="n">
        <f aca="false">IF(OR(B20="",G4*DB_Settings!$G$3=0),"",B18*DB_Settings!$G$2/E8/B20+$B$10*DB_Settings!$G$2*1000/E11/G4*DB_Settings!$G$3+IF($B$11=0,0,$B$11*DB_Settings!$G$2*1000/(E12/(E5/2))/G4*DB_Settings!$G$3))</f>
        <v>0.0823181597217007</v>
      </c>
      <c r="F23" s="9" t="str">
        <f aca="false">IF(B23="","","📊 組合應力比 = "&amp;ROUND(B23,3)&amp;IF(B23&lt;=1," → 安全"," → 超標！"))</f>
        <v>📊 組合應力比 = 0.082 → 安全</v>
      </c>
    </row>
    <row r="25" customFormat="false" ht="15" hidden="false" customHeight="true" outlineLevel="0" collapsed="false">
      <c r="A25" s="54" t="s">
        <v>277</v>
      </c>
      <c r="B25" s="54"/>
    </row>
    <row r="26" customFormat="false" ht="15" hidden="false" customHeight="true" outlineLevel="0" collapsed="false">
      <c r="A26" s="17" t="s">
        <v>278</v>
      </c>
      <c r="B26" s="7" t="str">
        <f aca="false">IF(B22="","",IF(B22&lt;=1,"OK","NG"))</f>
        <v>OK</v>
      </c>
      <c r="F26" s="9" t="str">
        <f aca="false">IF(B26="","",IF(B26="OK","✅ 純壓力方面安全","❌ 壓力太大，會被壓壞"))</f>
        <v>✅ 純壓力方面安全</v>
      </c>
    </row>
    <row r="27" customFormat="false" ht="15" hidden="false" customHeight="true" outlineLevel="0" collapsed="false">
      <c r="A27" s="17" t="s">
        <v>279</v>
      </c>
      <c r="B27" s="7" t="str">
        <f aca="false">IF(B23="","",IF(B23&lt;=1,"OK","NG"))</f>
        <v>OK</v>
      </c>
      <c r="F27" s="9" t="str">
        <f aca="false">IF(B27="","",IF(B27="OK","✅ 壓力+彎矩綜合安全","❌ 組合應力超標"))</f>
        <v>✅ 壓力+彎矩綜合安全</v>
      </c>
    </row>
    <row r="28" customFormat="false" ht="15" hidden="false" customHeight="true" outlineLevel="0" collapsed="false">
      <c r="A28" s="17" t="s">
        <v>165</v>
      </c>
      <c r="B28" s="7" t="str">
        <f aca="false">IF(OR(B26="",B27=""),"",IF(OR(B26="NG",B27="NG"),"NG","OK"))</f>
        <v>OK</v>
      </c>
      <c r="F28" s="9" t="str">
        <f aca="false">IF(B28="","",IF(B28="OK","🟢 柱子可以安全使用！","🔴 不安全，請加大斷面或減少荷重"))</f>
        <v>🟢 柱子可以安全使用！</v>
      </c>
    </row>
    <row r="29" customFormat="false" ht="15" hidden="false" customHeight="true" outlineLevel="0" collapsed="false">
      <c r="A29" s="17" t="s">
        <v>280</v>
      </c>
      <c r="B29" s="8" t="str">
        <f aca="false">IF(OR(B22="",B23=""),"",IF(B22&gt;=B23,"軸力控制","梁柱組合控制"))</f>
        <v>梁柱組合控制</v>
      </c>
      <c r="F29" s="9" t="str">
        <f aca="false">IF(B29="","","💡 「"&amp;B29&amp;"」決定了柱子的強度上限")</f>
        <v>💡 「梁柱組合控制」決定了柱子的強度上限</v>
      </c>
    </row>
    <row r="30" customFormat="false" ht="16.5" hidden="false" customHeight="true" outlineLevel="0" collapsed="false">
      <c r="A30" s="17" t="s">
        <v>281</v>
      </c>
      <c r="B30" s="6" t="n">
        <f aca="false">B21</f>
        <v>73110.9710378315</v>
      </c>
      <c r="F30" s="9" t="str">
        <f aca="false">IF(B30="","","🏋 最多可承受 "&amp;ROUND(B30,0)&amp;" kg")</f>
        <v>🏋 最多可承受 73111 kg</v>
      </c>
    </row>
  </sheetData>
  <mergeCells count="6">
    <mergeCell ref="A1:F1"/>
    <mergeCell ref="A2:F2"/>
    <mergeCell ref="A3:B3"/>
    <mergeCell ref="D3:E3"/>
    <mergeCell ref="A16:B16"/>
    <mergeCell ref="A25:B25"/>
  </mergeCells>
  <dataValidations count="4">
    <dataValidation allowBlank="false" errorStyle="stop" operator="between" showDropDown="false" showErrorMessage="false" showInputMessage="false" sqref="B6" type="list">
      <formula1>DB_Settings!$A$2:$A$6</formula1>
      <formula2>0</formula2>
    </dataValidation>
    <dataValidation allowBlank="false" errorStyle="stop" operator="between" showDropDown="false" showErrorMessage="false" showInputMessage="false" sqref="B12" type="list">
      <formula1>"是,否"</formula1>
      <formula2>0</formula2>
    </dataValidation>
    <dataValidation allowBlank="false" errorStyle="stop" operator="between" showDropDown="false" showErrorMessage="false" showInputMessage="false" sqref="B4" type="list">
      <formula1>DB_Settings!$J$2:$J$7</formula1>
      <formula2>0</formula2>
    </dataValidation>
    <dataValidation allowBlank="false" errorStyle="stop" operator="between" showDropDown="false" showErrorMessage="false" showInputMessage="false" sqref="B5" type="list">
      <formula1>INDIRECT(VLOOKUP(B4,DB_Settings!$J$2:$K$7,2,0))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42"/>
  </cols>
  <sheetData>
    <row r="1" customFormat="false" ht="21" hidden="false" customHeight="true" outlineLevel="0" collapsed="false">
      <c r="A1" s="2" t="s">
        <v>282</v>
      </c>
      <c r="B1" s="2"/>
      <c r="C1" s="2"/>
    </row>
    <row r="2" customFormat="false" ht="15" hidden="false" customHeight="true" outlineLevel="0" collapsed="false">
      <c r="A2" s="48" t="s">
        <v>283</v>
      </c>
      <c r="B2" s="48"/>
      <c r="C2" s="48"/>
    </row>
    <row r="3" customFormat="false" ht="15" hidden="false" customHeight="true" outlineLevel="0" collapsed="false">
      <c r="A3" s="17" t="s">
        <v>284</v>
      </c>
      <c r="C3" s="5" t="s">
        <v>242</v>
      </c>
    </row>
    <row r="4" customFormat="false" ht="15" hidden="false" customHeight="true" outlineLevel="0" collapsed="false">
      <c r="A4" s="17" t="s">
        <v>285</v>
      </c>
      <c r="B4" s="49" t="s">
        <v>286</v>
      </c>
      <c r="C4" s="5" t="s">
        <v>287</v>
      </c>
    </row>
    <row r="5" customFormat="false" ht="16.5" hidden="false" customHeight="true" outlineLevel="0" collapsed="false">
      <c r="A5" s="17" t="s">
        <v>288</v>
      </c>
      <c r="B5" s="55" t="n">
        <f aca="false">IFERROR(VLOOKUP($B$4,DB_Grating!$A$2:$G$21,2,0),"")</f>
        <v>25</v>
      </c>
      <c r="C5" s="5" t="s">
        <v>289</v>
      </c>
    </row>
    <row r="6" customFormat="false" ht="16.5" hidden="false" customHeight="true" outlineLevel="0" collapsed="false">
      <c r="A6" s="17" t="s">
        <v>290</v>
      </c>
      <c r="B6" s="55" t="n">
        <f aca="false">IFERROR(VLOOKUP($B$4,DB_Grating!$A$2:$G$21,3,0),"")</f>
        <v>3</v>
      </c>
      <c r="C6" s="5" t="s">
        <v>289</v>
      </c>
    </row>
    <row r="7" customFormat="false" ht="16.5" hidden="false" customHeight="true" outlineLevel="0" collapsed="false">
      <c r="A7" s="17" t="s">
        <v>291</v>
      </c>
      <c r="B7" s="55" t="n">
        <f aca="false">IFERROR(VLOOKUP($B$4,DB_Grating!$A$2:$G$21,4,0),"")</f>
        <v>30</v>
      </c>
      <c r="C7" s="5" t="s">
        <v>289</v>
      </c>
    </row>
    <row r="8" customFormat="false" ht="16.5" hidden="false" customHeight="true" outlineLevel="0" collapsed="false">
      <c r="A8" s="17" t="s">
        <v>107</v>
      </c>
      <c r="B8" s="49" t="n">
        <v>1000</v>
      </c>
      <c r="C8" s="5" t="s">
        <v>292</v>
      </c>
    </row>
    <row r="9" customFormat="false" ht="15" hidden="false" customHeight="true" outlineLevel="0" collapsed="false">
      <c r="A9" s="17" t="s">
        <v>83</v>
      </c>
      <c r="B9" s="52" t="s">
        <v>84</v>
      </c>
      <c r="C9" s="5" t="s">
        <v>293</v>
      </c>
    </row>
    <row r="10" customFormat="false" ht="16.5" hidden="false" customHeight="true" outlineLevel="0" collapsed="false">
      <c r="A10" s="17" t="s">
        <v>294</v>
      </c>
      <c r="B10" s="49" t="n">
        <v>200</v>
      </c>
      <c r="C10" s="5" t="s">
        <v>295</v>
      </c>
    </row>
    <row r="11" customFormat="false" ht="16.5" hidden="false" customHeight="true" outlineLevel="0" collapsed="false">
      <c r="A11" s="17" t="s">
        <v>119</v>
      </c>
      <c r="B11" s="49" t="n">
        <v>100</v>
      </c>
      <c r="C11" s="5" t="s">
        <v>296</v>
      </c>
    </row>
    <row r="12" customFormat="false" ht="16.5" hidden="false" customHeight="true" outlineLevel="0" collapsed="false">
      <c r="A12" s="17" t="s">
        <v>297</v>
      </c>
      <c r="B12" s="49" t="n">
        <v>500</v>
      </c>
      <c r="C12" s="5" t="s">
        <v>298</v>
      </c>
    </row>
    <row r="13" customFormat="false" ht="16.5" hidden="false" customHeight="true" outlineLevel="0" collapsed="false">
      <c r="A13" s="17" t="s">
        <v>299</v>
      </c>
      <c r="B13" s="49" t="n">
        <v>225</v>
      </c>
      <c r="C13" s="5" t="s">
        <v>300</v>
      </c>
    </row>
    <row r="14" customFormat="false" ht="16.5" hidden="false" customHeight="true" outlineLevel="0" collapsed="false">
      <c r="A14" s="17" t="s">
        <v>301</v>
      </c>
      <c r="B14" s="49" t="n">
        <v>235.36</v>
      </c>
      <c r="C14" s="5" t="s">
        <v>302</v>
      </c>
    </row>
    <row r="16" customFormat="false" ht="15" hidden="false" customHeight="true" outlineLevel="0" collapsed="false">
      <c r="A16" s="17" t="s">
        <v>303</v>
      </c>
    </row>
    <row r="17" customFormat="false" ht="16.5" hidden="false" customHeight="true" outlineLevel="0" collapsed="false">
      <c r="A17" s="17" t="s">
        <v>304</v>
      </c>
      <c r="B17" s="6" t="n">
        <f aca="false">B6*B5^3/12</f>
        <v>3906.25</v>
      </c>
    </row>
    <row r="18" customFormat="false" ht="16.5" hidden="false" customHeight="true" outlineLevel="0" collapsed="false">
      <c r="A18" s="17" t="s">
        <v>305</v>
      </c>
      <c r="B18" s="6" t="n">
        <f aca="false">B6*B5^2/6</f>
        <v>312.5</v>
      </c>
    </row>
    <row r="19" customFormat="false" ht="16.5" hidden="false" customHeight="true" outlineLevel="0" collapsed="false">
      <c r="A19" s="17" t="s">
        <v>306</v>
      </c>
      <c r="B19" s="6" t="n">
        <f aca="false">B5*B6</f>
        <v>75</v>
      </c>
    </row>
    <row r="20" customFormat="false" ht="15" hidden="false" customHeight="true" outlineLevel="0" collapsed="false">
      <c r="A20" s="19" t="s">
        <v>307</v>
      </c>
      <c r="B20" s="6" t="n">
        <f aca="false">B14*0.66</f>
        <v>155.3376</v>
      </c>
    </row>
    <row r="21" customFormat="false" ht="15" hidden="false" customHeight="true" outlineLevel="0" collapsed="false">
      <c r="A21" s="19" t="s">
        <v>308</v>
      </c>
      <c r="B21" s="6" t="n">
        <f aca="false">B14*0.4</f>
        <v>94.144</v>
      </c>
    </row>
    <row r="22" customFormat="false" ht="16.5" hidden="false" customHeight="true" outlineLevel="0" collapsed="false">
      <c r="A22" s="17" t="s">
        <v>309</v>
      </c>
      <c r="B22" s="6" t="n">
        <f aca="false">B20*B18/DB_Settings!$G$2</f>
        <v>4950.00841265876</v>
      </c>
    </row>
    <row r="23" customFormat="false" ht="16.5" hidden="false" customHeight="true" outlineLevel="0" collapsed="false">
      <c r="A23" s="17" t="s">
        <v>310</v>
      </c>
      <c r="B23" s="6" t="n">
        <f aca="false">B21*B19/DB_Settings!$G$2</f>
        <v>720.001223659456</v>
      </c>
    </row>
    <row r="24" customFormat="false" ht="16.5" hidden="false" customHeight="true" outlineLevel="0" collapsed="false">
      <c r="A24" s="17" t="s">
        <v>311</v>
      </c>
      <c r="B24" s="6" t="n">
        <f aca="false">B8/B10</f>
        <v>5</v>
      </c>
    </row>
    <row r="25" customFormat="false" ht="15" hidden="false" customHeight="true" outlineLevel="0" collapsed="false">
      <c r="A25" s="17" t="s">
        <v>312</v>
      </c>
      <c r="B25" s="6" t="n">
        <f aca="false">1000/B7</f>
        <v>33.3333333333333</v>
      </c>
    </row>
    <row r="27" customFormat="false" ht="15" hidden="false" customHeight="true" outlineLevel="0" collapsed="false">
      <c r="A27" s="54" t="s">
        <v>313</v>
      </c>
      <c r="C27" s="9" t="s">
        <v>314</v>
      </c>
    </row>
    <row r="28" customFormat="false" ht="15" hidden="false" customHeight="true" outlineLevel="0" collapsed="false">
      <c r="A28" s="17" t="s">
        <v>150</v>
      </c>
      <c r="B28" s="53" t="n">
        <f aca="false">IF(B9="簡支梁",(B12/1000000*B7)*B8^2/8/B22,(B12/1000000*B7)*B8^2/2/B22)</f>
        <v>0.378787235028737</v>
      </c>
      <c r="C28" s="9" t="str">
        <f aca="false">IF(B28="","","📊 彎矩用了 "&amp;ROUND(B28*100,1)&amp;"% → "&amp;IF(B28&lt;=1,"安全","超標！"))</f>
        <v>📊 彎矩用了 37.9% → 安全</v>
      </c>
    </row>
    <row r="29" customFormat="false" ht="15" hidden="false" customHeight="true" outlineLevel="0" collapsed="false">
      <c r="A29" s="17" t="s">
        <v>152</v>
      </c>
      <c r="B29" s="53" t="n">
        <f aca="false">IF(B9="簡支梁",(B12/1000000*B7)*B8/2/B23,(B12/1000000*B7)*B8/B23)</f>
        <v>0.0104166489632903</v>
      </c>
      <c r="C29" s="9" t="str">
        <f aca="false">IF(B29="","","📊 剪力用了 "&amp;ROUND(B29*100,1)&amp;"%")</f>
        <v>📊 剪力用了 1%</v>
      </c>
    </row>
    <row r="30" customFormat="false" ht="15" hidden="false" customHeight="true" outlineLevel="0" collapsed="false">
      <c r="A30" s="17" t="s">
        <v>154</v>
      </c>
      <c r="B30" s="53" t="n">
        <f aca="false">IF(B9="簡支梁",5*(B12/1000000*B7)*DB_Settings!$G$2*B8^4/(384*200000*B17)/B24,(B12/1000000*B7)*DB_Settings!$G$2*B8^4/(8*200000*B17)/B24)</f>
        <v>0.4903325</v>
      </c>
      <c r="C30" s="9" t="str">
        <f aca="false">IF(B30="","","📊 撓度用了 "&amp;ROUND(B30*100,1)&amp;"%")</f>
        <v>📊 撓度用了 49%</v>
      </c>
    </row>
    <row r="32" customFormat="false" ht="15" hidden="false" customHeight="true" outlineLevel="0" collapsed="false">
      <c r="A32" s="54" t="s">
        <v>315</v>
      </c>
    </row>
    <row r="33" customFormat="false" ht="15" hidden="false" customHeight="true" outlineLevel="0" collapsed="false">
      <c r="A33" s="17" t="s">
        <v>316</v>
      </c>
      <c r="B33" s="6" t="n">
        <f aca="false">MIN(FLOOR(B13/B7,1)+1,B25)</f>
        <v>8</v>
      </c>
      <c r="C33" s="5" t="s">
        <v>317</v>
      </c>
    </row>
    <row r="34" customFormat="false" ht="16.5" hidden="false" customHeight="true" outlineLevel="0" collapsed="false">
      <c r="A34" s="17" t="s">
        <v>318</v>
      </c>
      <c r="B34" s="6" t="n">
        <f aca="false">B11/B33</f>
        <v>12.5</v>
      </c>
    </row>
    <row r="35" customFormat="false" ht="15" hidden="false" customHeight="true" outlineLevel="0" collapsed="false">
      <c r="A35" s="17" t="s">
        <v>150</v>
      </c>
      <c r="B35" s="53" t="n">
        <f aca="false">IF(B9="簡支梁",B34*B8/4/B22,B34*B8/B22)</f>
        <v>0.631312058381229</v>
      </c>
      <c r="C35" s="9" t="str">
        <f aca="false">IF(B35="","","📊 彎矩用了 "&amp;ROUND(B35*100,1)&amp;"%")</f>
        <v>📊 彎矩用了 63.1%</v>
      </c>
    </row>
    <row r="36" customFormat="false" ht="15" hidden="false" customHeight="true" outlineLevel="0" collapsed="false">
      <c r="A36" s="17" t="s">
        <v>152</v>
      </c>
      <c r="B36" s="53" t="n">
        <f aca="false">IF(B9="簡支梁",B34/2/B23,B34/B23)</f>
        <v>0.0086805408027419</v>
      </c>
    </row>
    <row r="37" customFormat="false" ht="15" hidden="false" customHeight="true" outlineLevel="0" collapsed="false">
      <c r="A37" s="17" t="s">
        <v>154</v>
      </c>
      <c r="B37" s="53" t="n">
        <f aca="false">IF(B9="簡支梁",B34*DB_Settings!$G$2*B8^3/(48*200000*B17)/B24,B34*DB_Settings!$G$2*B8^3/(3*200000*B17)/B24)</f>
        <v>0.653776666666667</v>
      </c>
      <c r="C37" s="9" t="str">
        <f aca="false">IF(B37="","","📊 撓度用了 "&amp;ROUND(B37*100,1)&amp;"%")</f>
        <v>📊 撓度用了 65.4%</v>
      </c>
    </row>
    <row r="39" customFormat="false" ht="15" hidden="false" customHeight="true" outlineLevel="0" collapsed="false">
      <c r="A39" s="54" t="s">
        <v>277</v>
      </c>
      <c r="C39" s="9" t="s">
        <v>314</v>
      </c>
    </row>
    <row r="40" customFormat="false" ht="15" hidden="false" customHeight="true" outlineLevel="0" collapsed="false">
      <c r="A40" s="17" t="s">
        <v>319</v>
      </c>
      <c r="B40" s="7" t="str">
        <f aca="false">IF(MAX(B28,B29,B30)&lt;=1,"OK","NG")</f>
        <v>OK</v>
      </c>
      <c r="C40" s="9" t="str">
        <f aca="false">IF(B40="OK","✅ 地板可以安全承載 "&amp;B12&amp;" kg/m²","❌ 超載了！需減少荷重或換更密的格柵")</f>
        <v>✅ 地板可以安全承載 500 kg/m²</v>
      </c>
    </row>
    <row r="41" customFormat="false" ht="15" hidden="false" customHeight="true" outlineLevel="0" collapsed="false">
      <c r="A41" s="17" t="s">
        <v>320</v>
      </c>
      <c r="B41" s="7" t="str">
        <f aca="false">IF(MAX(B35,B36,B37)&lt;=1,"OK","NG")</f>
        <v>OK</v>
      </c>
      <c r="C41" s="9" t="str">
        <f aca="false">IF(B41="OK","✅ 站 "&amp;B11&amp;" kg 的人上去安全","❌ 踩上去會壞！需加強")</f>
        <v>✅ 站 100 kg 的人上去安全</v>
      </c>
    </row>
    <row r="42" customFormat="false" ht="15" hidden="false" customHeight="true" outlineLevel="0" collapsed="false">
      <c r="A42" s="17" t="s">
        <v>321</v>
      </c>
      <c r="B42" s="8" t="str">
        <f aca="false">IF(B30&gt;=MAX(B28,B29,B30),"撓度",IF(B28&gt;=MAX(B28,B29,B30),"彎矩","剪力"))</f>
        <v>撓度</v>
      </c>
      <c r="C42" s="9" t="str">
        <f aca="false">IF(B42="","","💡 均佈荷重下「"&amp;B42&amp;"」最嚴格")</f>
        <v>💡 均佈荷重下「撓度」最嚴格</v>
      </c>
    </row>
    <row r="43" customFormat="false" ht="15" hidden="false" customHeight="true" outlineLevel="0" collapsed="false">
      <c r="A43" s="17" t="s">
        <v>322</v>
      </c>
      <c r="B43" s="8" t="str">
        <f aca="false">IF(B37&gt;=MAX(B35,B36,B37),"撓度",IF(B35&gt;=MAX(B35,B36,B37),"彎矩","剪力"))</f>
        <v>撓度</v>
      </c>
    </row>
    <row r="44" customFormat="false" ht="16.5" hidden="false" customHeight="true" outlineLevel="0" collapsed="false">
      <c r="A44" s="17" t="s">
        <v>323</v>
      </c>
      <c r="B44" s="6" t="n">
        <f aca="false">ROUND(B12/MAX(B28,B29,B30),0)</f>
        <v>1020</v>
      </c>
      <c r="C44" s="9" t="str">
        <f aca="false">IF(B44="","","🏋 均佈荷重最多可放 "&amp;B44&amp;" kg/m²")</f>
        <v>🏋 均佈荷重最多可放 1020 kg/m²</v>
      </c>
    </row>
    <row r="45" customFormat="false" ht="16.5" hidden="false" customHeight="true" outlineLevel="0" collapsed="false">
      <c r="A45" s="17" t="s">
        <v>324</v>
      </c>
      <c r="B45" s="6" t="n">
        <f aca="false">ROUND(B11/MAX(B35,B36,B37),0)</f>
        <v>153</v>
      </c>
      <c r="C45" s="9" t="str">
        <f aca="false">IF(B45="","","🏋 單點最多踩 "&amp;B45&amp;" kg")</f>
        <v>🏋 單點最多踩 153 kg</v>
      </c>
    </row>
  </sheetData>
  <mergeCells count="2">
    <mergeCell ref="A1:C1"/>
    <mergeCell ref="A2:C2"/>
  </mergeCells>
  <dataValidations count="2">
    <dataValidation allowBlank="false" errorStyle="stop" operator="between" showDropDown="false" showErrorMessage="false" showInputMessage="false" sqref="B9" type="list">
      <formula1>"簡支梁,懸臂梁"</formula1>
      <formula2>0</formula2>
    </dataValidation>
    <dataValidation allowBlank="false" errorStyle="stop" operator="between" showDropDown="false" showErrorMessage="false" showInputMessage="false" sqref="B4" type="list">
      <formula1>DB_Grating!$A$2:$A$21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45"/>
  </cols>
  <sheetData>
    <row r="1" customFormat="false" ht="21" hidden="false" customHeight="true" outlineLevel="0" collapsed="false">
      <c r="A1" s="56" t="s">
        <v>325</v>
      </c>
      <c r="B1" s="56"/>
      <c r="C1" s="56"/>
    </row>
    <row r="2" customFormat="false" ht="15" hidden="false" customHeight="true" outlineLevel="0" collapsed="false">
      <c r="A2" s="48" t="s">
        <v>326</v>
      </c>
      <c r="B2" s="48"/>
      <c r="C2" s="48"/>
    </row>
    <row r="3" customFormat="false" ht="16.5" hidden="false" customHeight="true" outlineLevel="0" collapsed="false">
      <c r="A3" s="17" t="s">
        <v>327</v>
      </c>
    </row>
    <row r="4" customFormat="false" ht="16.5" hidden="false" customHeight="true" outlineLevel="0" collapsed="false">
      <c r="A4" s="19" t="s">
        <v>328</v>
      </c>
      <c r="B4" s="49" t="s">
        <v>329</v>
      </c>
      <c r="C4" s="5" t="s">
        <v>330</v>
      </c>
    </row>
    <row r="5" customFormat="false" ht="16.5" hidden="false" customHeight="true" outlineLevel="0" collapsed="false">
      <c r="A5" s="17" t="s">
        <v>331</v>
      </c>
      <c r="B5" s="6" t="n">
        <f aca="false">IFERROR(VLOOKUP($B$4,DB_Deck!$A$2:$H$20,2,0),"")</f>
        <v>100</v>
      </c>
    </row>
    <row r="6" customFormat="false" ht="15" hidden="false" customHeight="true" outlineLevel="0" collapsed="false">
      <c r="A6" s="19" t="s">
        <v>332</v>
      </c>
      <c r="B6" s="6" t="n">
        <f aca="false">IFERROR(VLOOKUP($B$4,DB_Deck!$A$2:$H$20,5,0),"")</f>
        <v>1525</v>
      </c>
    </row>
    <row r="7" customFormat="false" ht="16.5" hidden="false" customHeight="true" outlineLevel="0" collapsed="false">
      <c r="A7" s="19" t="s">
        <v>333</v>
      </c>
      <c r="B7" s="6" t="n">
        <f aca="false">IFERROR(VLOOKUP($B$4,DB_Deck!$A$2:$H$20,7,0),"")</f>
        <v>17.6</v>
      </c>
    </row>
    <row r="8" customFormat="false" ht="15" hidden="false" customHeight="true" outlineLevel="0" collapsed="false">
      <c r="A8" s="19" t="s">
        <v>334</v>
      </c>
      <c r="B8" s="49" t="n">
        <v>250</v>
      </c>
      <c r="C8" s="57" t="s">
        <v>335</v>
      </c>
    </row>
    <row r="9" customFormat="false" ht="39.75" hidden="false" customHeight="true" outlineLevel="0" collapsed="false">
      <c r="A9" s="58" t="s">
        <v>336</v>
      </c>
      <c r="B9" s="59" t="n">
        <v>0</v>
      </c>
      <c r="C9" s="60" t="s">
        <v>337</v>
      </c>
    </row>
    <row r="10" customFormat="false" ht="15" hidden="false" customHeight="true" outlineLevel="0" collapsed="false">
      <c r="A10" s="17" t="s">
        <v>338</v>
      </c>
    </row>
    <row r="11" customFormat="false" ht="16.5" hidden="false" customHeight="true" outlineLevel="0" collapsed="false">
      <c r="A11" s="17" t="s">
        <v>339</v>
      </c>
      <c r="B11" s="49" t="n">
        <v>3000</v>
      </c>
      <c r="C11" s="5" t="s">
        <v>340</v>
      </c>
    </row>
    <row r="12" customFormat="false" ht="16.5" hidden="false" customHeight="true" outlineLevel="0" collapsed="false">
      <c r="A12" s="17" t="s">
        <v>341</v>
      </c>
      <c r="B12" s="49" t="n">
        <v>80</v>
      </c>
      <c r="C12" s="5" t="s">
        <v>342</v>
      </c>
    </row>
    <row r="13" customFormat="false" ht="16.5" hidden="false" customHeight="true" outlineLevel="0" collapsed="false">
      <c r="A13" s="17" t="s">
        <v>343</v>
      </c>
      <c r="B13" s="49" t="n">
        <v>2400</v>
      </c>
    </row>
    <row r="14" customFormat="false" ht="16.5" hidden="false" customHeight="true" outlineLevel="0" collapsed="false">
      <c r="A14" s="17" t="s">
        <v>344</v>
      </c>
      <c r="B14" s="6" t="n">
        <f aca="false">B5+B12</f>
        <v>180</v>
      </c>
    </row>
    <row r="15" customFormat="false" ht="16.5" hidden="false" customHeight="true" outlineLevel="0" collapsed="false">
      <c r="A15" s="17" t="s">
        <v>345</v>
      </c>
      <c r="B15" s="6" t="n">
        <f aca="false">ROUND(B13*(B12+B5/2)/1000,1)</f>
        <v>312</v>
      </c>
    </row>
    <row r="16" customFormat="false" ht="16.5" hidden="false" customHeight="true" outlineLevel="0" collapsed="false">
      <c r="A16" s="19" t="s">
        <v>346</v>
      </c>
      <c r="B16" s="50" t="n">
        <f aca="false">B11/145.038</f>
        <v>20.684234476482</v>
      </c>
      <c r="C16" s="61" t="s">
        <v>347</v>
      </c>
    </row>
    <row r="17" customFormat="false" ht="16.5" hidden="false" customHeight="true" outlineLevel="0" collapsed="false">
      <c r="A17" s="17" t="s">
        <v>348</v>
      </c>
      <c r="C17" s="5" t="s">
        <v>349</v>
      </c>
    </row>
    <row r="18" customFormat="false" ht="16.5" hidden="false" customHeight="true" outlineLevel="0" collapsed="false">
      <c r="A18" s="19" t="s">
        <v>350</v>
      </c>
      <c r="B18" s="49" t="s">
        <v>351</v>
      </c>
      <c r="C18" s="5" t="s">
        <v>352</v>
      </c>
    </row>
    <row r="19" customFormat="false" ht="15" hidden="false" customHeight="true" outlineLevel="0" collapsed="false">
      <c r="A19" s="19" t="s">
        <v>353</v>
      </c>
      <c r="B19" s="6" t="n">
        <f aca="false">IFERROR(VLOOKUP($B$18,DB_Deck!$A$17:$G$30,5,0),"")</f>
        <v>83.8</v>
      </c>
    </row>
    <row r="20" customFormat="false" ht="15" hidden="false" customHeight="true" outlineLevel="0" collapsed="false">
      <c r="A20" s="19" t="s">
        <v>354</v>
      </c>
      <c r="B20" s="6" t="n">
        <f aca="false">IFERROR(VLOOKUP($B$18,DB_Deck!$A$17:$G$30,7,0),"")</f>
        <v>490</v>
      </c>
    </row>
    <row r="21" customFormat="false" ht="16.5" hidden="false" customHeight="true" outlineLevel="0" collapsed="false">
      <c r="A21" s="19" t="s">
        <v>355</v>
      </c>
      <c r="B21" s="49" t="n">
        <v>20</v>
      </c>
      <c r="C21" s="5" t="s">
        <v>356</v>
      </c>
    </row>
    <row r="22" customFormat="false" ht="29.85" hidden="false" customHeight="false" outlineLevel="0" collapsed="false">
      <c r="A22" s="58" t="s">
        <v>357</v>
      </c>
      <c r="B22" s="59" t="n">
        <v>420</v>
      </c>
      <c r="C22" s="60" t="s">
        <v>358</v>
      </c>
    </row>
    <row r="23" customFormat="false" ht="15" hidden="false" customHeight="true" outlineLevel="0" collapsed="false">
      <c r="A23" s="17" t="s">
        <v>359</v>
      </c>
    </row>
    <row r="24" customFormat="false" ht="16.5" hidden="false" customHeight="true" outlineLevel="0" collapsed="false">
      <c r="A24" s="17" t="s">
        <v>107</v>
      </c>
      <c r="B24" s="49" t="n">
        <v>2000</v>
      </c>
      <c r="C24" s="5" t="s">
        <v>360</v>
      </c>
    </row>
    <row r="25" customFormat="false" ht="15" hidden="false" customHeight="true" outlineLevel="0" collapsed="false">
      <c r="A25" s="17" t="s">
        <v>83</v>
      </c>
      <c r="B25" s="52" t="s">
        <v>361</v>
      </c>
      <c r="C25" s="5" t="s">
        <v>362</v>
      </c>
    </row>
    <row r="26" customFormat="false" ht="16.5" hidden="false" customHeight="true" outlineLevel="0" collapsed="false">
      <c r="A26" s="17" t="s">
        <v>363</v>
      </c>
      <c r="B26" s="49" t="n">
        <v>500</v>
      </c>
      <c r="C26" s="5" t="s">
        <v>364</v>
      </c>
    </row>
    <row r="27" customFormat="false" ht="16.5" hidden="false" customHeight="true" outlineLevel="0" collapsed="false">
      <c r="A27" s="17" t="s">
        <v>365</v>
      </c>
      <c r="B27" s="49" t="n">
        <v>50</v>
      </c>
      <c r="C27" s="5" t="s">
        <v>366</v>
      </c>
    </row>
    <row r="28" customFormat="false" ht="16.5" hidden="false" customHeight="true" outlineLevel="0" collapsed="false">
      <c r="A28" s="17" t="s">
        <v>294</v>
      </c>
      <c r="B28" s="49" t="n">
        <v>240</v>
      </c>
    </row>
    <row r="29" customFormat="false" ht="16.5" hidden="false" customHeight="true" outlineLevel="0" collapsed="false">
      <c r="A29" s="17" t="s">
        <v>367</v>
      </c>
      <c r="B29" s="49" t="n">
        <v>0.9</v>
      </c>
    </row>
    <row r="31" customFormat="false" ht="15" hidden="false" customHeight="true" outlineLevel="0" collapsed="false">
      <c r="A31" s="54" t="s">
        <v>268</v>
      </c>
      <c r="C31" s="9" t="s">
        <v>314</v>
      </c>
    </row>
    <row r="32" customFormat="false" ht="16.5" hidden="false" customHeight="true" outlineLevel="0" collapsed="false">
      <c r="A32" s="17" t="s">
        <v>368</v>
      </c>
      <c r="B32" s="6" t="n">
        <f aca="false">(B7+B15+B27)</f>
        <v>379.6</v>
      </c>
    </row>
    <row r="33" customFormat="false" ht="16.5" hidden="false" customHeight="true" outlineLevel="0" collapsed="false">
      <c r="A33" s="17" t="s">
        <v>369</v>
      </c>
      <c r="B33" s="6" t="n">
        <f aca="false">(1.2*(B7+B15+B27)+1.6*B26)</f>
        <v>1255.52</v>
      </c>
      <c r="C33" s="57" t="s">
        <v>370</v>
      </c>
    </row>
    <row r="34" customFormat="false" ht="16.5" hidden="false" customHeight="true" outlineLevel="0" collapsed="false">
      <c r="A34" s="17" t="s">
        <v>371</v>
      </c>
      <c r="B34" s="6" t="n">
        <f aca="false">B29*(B6*B8*((B14-B5/2)-(B6*B8+B9*B22)/(0.85*B16*1000)/2)+B9*B22*((B14-25)-(B6*B8+B9*B22)/(0.85*B16*1000)/2))/(DB_Settings!$G$2*1000)</f>
        <v>4169.21021020475</v>
      </c>
      <c r="C34" s="62" t="str">
        <f aca="false">IF(B9&gt;0,"🔧 含底筋，正向最多撐 "&amp;ROUND(B34,0)&amp;" kg·m/m","🔧 純 Deck，正向最多撐 "&amp;ROUND(B34,0)&amp;" kg·m/m")</f>
        <v>🔧 純 Deck，正向最多撐 4169 kg·m/m</v>
      </c>
    </row>
    <row r="35" customFormat="false" ht="16.5" hidden="false" customHeight="true" outlineLevel="0" collapsed="false">
      <c r="A35" s="17" t="s">
        <v>372</v>
      </c>
      <c r="B35" s="6" t="n">
        <f aca="false">B29*B19*B20*((B14-B21)-B19*B20/(0.85*B16*1000)/2)/(DB_Settings!$G$2*1000)</f>
        <v>598.550236912142</v>
      </c>
    </row>
    <row r="36" customFormat="false" ht="16.5" hidden="false" customHeight="true" outlineLevel="0" collapsed="false">
      <c r="A36" s="17" t="s">
        <v>373</v>
      </c>
      <c r="B36" s="6" t="n">
        <f aca="false">B29*0.17*SQRT(B16)*1000*(B14-B5/2)/DB_Settings!$G$2</f>
        <v>9224.30880825781</v>
      </c>
    </row>
    <row r="37" customFormat="false" ht="16.5" hidden="false" customHeight="true" outlineLevel="0" collapsed="false">
      <c r="A37" s="17" t="s">
        <v>374</v>
      </c>
      <c r="B37" s="6" t="n">
        <f aca="false">IF(B25="單跨",B33*(B24/1000)^2/8,IF(B25="雙跨連續",B33*(B24/1000)^2/8,B33*(B24/1000)^2/10))</f>
        <v>627.76</v>
      </c>
    </row>
    <row r="38" customFormat="false" ht="16.5" hidden="false" customHeight="true" outlineLevel="0" collapsed="false">
      <c r="A38" s="17" t="s">
        <v>375</v>
      </c>
      <c r="B38" s="6" t="n">
        <f aca="false">IF(B25="單跨",0,IF(B25="雙跨連續",B33*(B24/1000)^2/8,B33*(B24/1000)^2/9))</f>
        <v>0</v>
      </c>
    </row>
    <row r="39" customFormat="false" ht="16.5" hidden="false" customHeight="true" outlineLevel="0" collapsed="false">
      <c r="A39" s="17" t="s">
        <v>376</v>
      </c>
      <c r="B39" s="6" t="n">
        <f aca="false">IF(B25="單跨",B33*(B24/1000)/2,IF(B25="雙跨連續",5*B33*(B24/1000)/8,B33*(B24/1000)/2))</f>
        <v>1255.52</v>
      </c>
    </row>
    <row r="40" customFormat="false" ht="16.5" hidden="false" customHeight="true" outlineLevel="0" collapsed="false">
      <c r="A40" s="17" t="s">
        <v>377</v>
      </c>
      <c r="B40" s="6" t="n">
        <f aca="false">IF(B25="單跨",5*((B7+B15+B27)+B26)*DB_Settings!$G$2*B24^4/(384*4700*SQRT(B16)*(1000*B12^3/12+200000/(4700*SQRT(B16))*(B6*((B14-B5/2)-(B6*B8+B9*B22)/(0.85*B16*1000)/2)^2+IF(B9&gt;0,B9*((B14-25)-(B6*B8+B9*B22)/(0.85*B16*1000)/2)^2,0)))*1000),5*((B7+B15+B27)+B26)*DB_Settings!$G$2*B24^4/(384*4700*SQRT(B16)*(1000*B12^3/12+200000/(4700*SQRT(B16))*(B6*((B14-B5/2)-(B6*B8+B9*B22)/(0.85*B16*1000)/2)^2+IF(B9&gt;0,B9*((B14-25)-(B6*B8+B9*B22)/(0.85*B16*1000)/2)^2,0)))*1000)*0.4)</f>
        <v>0.342782989541227</v>
      </c>
    </row>
    <row r="42" customFormat="false" ht="15" hidden="false" customHeight="true" outlineLevel="0" collapsed="false">
      <c r="A42" s="54" t="s">
        <v>378</v>
      </c>
    </row>
    <row r="43" customFormat="false" ht="15" hidden="false" customHeight="true" outlineLevel="0" collapsed="false">
      <c r="A43" s="17" t="s">
        <v>379</v>
      </c>
      <c r="B43" s="53" t="n">
        <f aca="false">IF(B34=0,"",B37/B34)</f>
        <v>0.150570484180305</v>
      </c>
      <c r="C43" s="9" t="str">
        <f aca="false">IF(B43="","","📊 正彎矩用了 "&amp;ROUND(B43*100,1)&amp;"%")</f>
        <v>📊 正彎矩用了 15.1%</v>
      </c>
    </row>
    <row r="44" customFormat="false" ht="15" hidden="false" customHeight="true" outlineLevel="0" collapsed="false">
      <c r="A44" s="17" t="s">
        <v>152</v>
      </c>
      <c r="B44" s="53" t="n">
        <f aca="false">IF(B36=0,"",B39/B36)</f>
        <v>0.136109927160724</v>
      </c>
      <c r="C44" s="9" t="str">
        <f aca="false">IF(B44="","","📊 剪力用了 "&amp;ROUND(B44*100,1)&amp;"%")</f>
        <v>📊 剪力用了 13.6%</v>
      </c>
    </row>
    <row r="45" customFormat="false" ht="15" hidden="false" customHeight="true" outlineLevel="0" collapsed="false">
      <c r="A45" s="17" t="s">
        <v>154</v>
      </c>
      <c r="B45" s="53" t="n">
        <f aca="false">IF(B24/B28=0,"",B40/B24/B28)</f>
        <v>7.14131228210889E-007</v>
      </c>
      <c r="C45" s="9" t="str">
        <f aca="false">IF(B45="","","📊 撓度用了 "&amp;ROUND(B45*100,1)&amp;"%")</f>
        <v>📊 撓度用了 0%</v>
      </c>
    </row>
    <row r="47" customFormat="false" ht="15" hidden="false" customHeight="true" outlineLevel="0" collapsed="false">
      <c r="A47" s="54" t="s">
        <v>277</v>
      </c>
      <c r="C47" s="9" t="s">
        <v>314</v>
      </c>
    </row>
    <row r="48" customFormat="false" ht="15" hidden="false" customHeight="true" outlineLevel="0" collapsed="false">
      <c r="A48" s="17" t="s">
        <v>165</v>
      </c>
      <c r="B48" s="7" t="str">
        <f aca="false">IF(MAX(B43,B44,B45)&lt;=1,"OK","NG")</f>
        <v>OK</v>
      </c>
      <c r="C48" s="9" t="str">
        <f aca="false">IF(B48="OK","🟢 樓板安全！","🔴 不安全，加厚混凝土或換大號 Deck")</f>
        <v>🟢 樓板安全！</v>
      </c>
    </row>
    <row r="49" customFormat="false" ht="15" hidden="false" customHeight="true" outlineLevel="0" collapsed="false">
      <c r="A49" s="17" t="s">
        <v>280</v>
      </c>
      <c r="B49" s="8" t="str">
        <f aca="false">IF(B45&gt;=MAX(B43,B44,B45),"撓度",IF(B43&gt;=MAX(B43,B44),"正彎矩","剪力"))</f>
        <v>正彎矩</v>
      </c>
      <c r="C49" s="9" t="str">
        <f aca="false">IF(B49="","","💡 「"&amp;B49&amp;"」決定了樓板承載力上限")</f>
        <v>💡 「正彎矩」決定了樓板承載力上限</v>
      </c>
    </row>
    <row r="50" customFormat="false" ht="16.5" hidden="false" customHeight="true" outlineLevel="0" collapsed="false">
      <c r="A50" s="17" t="s">
        <v>380</v>
      </c>
      <c r="B50" s="6" t="n">
        <f aca="false">IFERROR(ROUND(B26/MAX(B43,B44,B45),0),"—")</f>
        <v>3321</v>
      </c>
      <c r="C50" s="9" t="str">
        <f aca="false">IF(B50="","","🏋 活載重最多可放 "&amp;B50&amp;" kg/m²")</f>
        <v>🏋 活載重最多可放 3321 kg/m²</v>
      </c>
    </row>
  </sheetData>
  <mergeCells count="2">
    <mergeCell ref="A1:C1"/>
    <mergeCell ref="A2:C2"/>
  </mergeCells>
  <dataValidations count="3">
    <dataValidation allowBlank="false" errorStyle="stop" operator="between" showDropDown="false" showErrorMessage="false" showInputMessage="false" sqref="B25" type="list">
      <formula1>"單跨,雙跨連續,三跨連續"</formula1>
      <formula2>0</formula2>
    </dataValidation>
    <dataValidation allowBlank="false" errorStyle="stop" operator="between" showDropDown="false" showErrorMessage="false" showInputMessage="false" sqref="B4" type="list">
      <formula1>DB_Deck!$A$2:$A$13</formula1>
      <formula2>0</formula2>
    </dataValidation>
    <dataValidation allowBlank="false" errorStyle="stop" operator="between" showDropDown="false" showErrorMessage="false" showInputMessage="false" sqref="B18" type="list">
      <formula1>DB_Deck!$A$17:$A$27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7" min="4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45"/>
  </cols>
  <sheetData>
    <row r="1" customFormat="false" ht="17.25" hidden="false" customHeight="true" outlineLevel="0" collapsed="false">
      <c r="A1" s="2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32.25" hidden="false" customHeight="true" outlineLevel="0" collapsed="false">
      <c r="A3" s="63" t="s">
        <v>382</v>
      </c>
      <c r="B3" s="64" t="s">
        <v>383</v>
      </c>
      <c r="C3" s="64" t="s">
        <v>384</v>
      </c>
      <c r="D3" s="64" t="s">
        <v>385</v>
      </c>
      <c r="E3" s="64" t="s">
        <v>386</v>
      </c>
      <c r="F3" s="64" t="s">
        <v>387</v>
      </c>
      <c r="G3" s="64" t="s">
        <v>388</v>
      </c>
      <c r="H3" s="64" t="s">
        <v>389</v>
      </c>
      <c r="I3" s="64" t="s">
        <v>280</v>
      </c>
      <c r="J3" s="64" t="s">
        <v>390</v>
      </c>
      <c r="K3" s="64" t="s">
        <v>314</v>
      </c>
    </row>
    <row r="4" customFormat="false" ht="15" hidden="false" customHeight="true" outlineLevel="0" collapsed="false">
      <c r="A4" s="24" t="n">
        <v>1</v>
      </c>
      <c r="B4" s="65" t="s">
        <v>391</v>
      </c>
      <c r="C4" s="24" t="str">
        <f aca="false">鋼梁_天車計算!B8</f>
        <v>H-100x50x5x7</v>
      </c>
      <c r="D4" s="66" t="n">
        <f aca="false">鋼梁_天車計算!E25</f>
        <v>0.103952408863157</v>
      </c>
      <c r="E4" s="66" t="n">
        <f aca="false">鋼梁_天車計算!E26</f>
        <v>0.00796062116063171</v>
      </c>
      <c r="F4" s="66" t="n">
        <f aca="false">鋼梁_天車計算!E27</f>
        <v>0.226733377713954</v>
      </c>
      <c r="G4" s="66" t="n">
        <f aca="false">IFERROR(MAX(D4,E4,F4),"")</f>
        <v>0.226733377713954</v>
      </c>
      <c r="H4" s="67" t="str">
        <f aca="false">鋼梁_天車計算!E33</f>
        <v>OK</v>
      </c>
      <c r="I4" s="68" t="str">
        <f aca="false">鋼梁_天車計算!E32</f>
        <v>撓度</v>
      </c>
      <c r="J4" s="24" t="str">
        <f aca="false">IF(鋼梁_天車計算!B6="集中荷重",ROUND(鋼梁_天車計算!B33,0)&amp;" kg",ROUND(鋼梁_天車計算!B39,1)&amp;" kg/m")</f>
        <v>169 kg</v>
      </c>
      <c r="K4" s="69" t="str">
        <f aca="false">IF(H4="OK","✅ 鋼梁安全（用了 "&amp;ROUND(G4*100,1)&amp;"%）","❌ 鋼梁超標！"&amp;I4&amp;"先壞")</f>
        <v>✅ 鋼梁安全（用了 22.7%）</v>
      </c>
    </row>
    <row r="5" customFormat="false" ht="15" hidden="false" customHeight="true" outlineLevel="0" collapsed="false">
      <c r="A5" s="24" t="n">
        <v>2</v>
      </c>
      <c r="B5" s="65" t="s">
        <v>392</v>
      </c>
      <c r="C5" s="24" t="str">
        <f aca="false">鋼柱計算!B5</f>
        <v>H-200x200x8x12</v>
      </c>
      <c r="D5" s="66" t="n">
        <f aca="false">鋼柱計算!B23</f>
        <v>0.0823181597217007</v>
      </c>
      <c r="E5" s="66" t="str">
        <f aca="false">"—"</f>
        <v>—</v>
      </c>
      <c r="F5" s="66" t="str">
        <f aca="false">"—"</f>
        <v>—</v>
      </c>
      <c r="G5" s="66" t="n">
        <f aca="false">IFERROR(MAX(鋼柱計算!B22,鋼柱計算!B23),"")</f>
        <v>0.0823181597217007</v>
      </c>
      <c r="H5" s="67" t="str">
        <f aca="false">鋼柱計算!B28</f>
        <v>OK</v>
      </c>
      <c r="I5" s="68" t="str">
        <f aca="false">鋼柱計算!B29</f>
        <v>梁柱組合控制</v>
      </c>
      <c r="J5" s="24" t="str">
        <f aca="false">ROUND(鋼柱計算!B30,0)&amp;" kg"</f>
        <v>73111 kg</v>
      </c>
      <c r="K5" s="69" t="str">
        <f aca="false">IF(H5="OK","✅ 鋼柱安全（用了 "&amp;ROUND(G5*100,1)&amp;"%）","❌ 鋼柱超標！")</f>
        <v>✅ 鋼柱安全（用了 8.2%）</v>
      </c>
    </row>
    <row r="6" customFormat="false" ht="16.5" hidden="false" customHeight="true" outlineLevel="0" collapsed="false">
      <c r="A6" s="24" t="n">
        <v>3</v>
      </c>
      <c r="B6" s="65" t="s">
        <v>393</v>
      </c>
      <c r="C6" s="24" t="str">
        <f aca="false">格柵計算!B4</f>
        <v>25×3 @30 溝距200</v>
      </c>
      <c r="D6" s="66" t="n">
        <f aca="false">格柵計算!B28</f>
        <v>0.378787235028737</v>
      </c>
      <c r="E6" s="66" t="n">
        <f aca="false">格柵計算!B29</f>
        <v>0.0104166489632903</v>
      </c>
      <c r="F6" s="66" t="n">
        <f aca="false">格柵計算!B30</f>
        <v>0.4903325</v>
      </c>
      <c r="G6" s="66" t="n">
        <f aca="false">IFERROR(MAX(D6,E6,F6),"")</f>
        <v>0.4903325</v>
      </c>
      <c r="H6" s="67" t="str">
        <f aca="false">格柵計算!B40</f>
        <v>OK</v>
      </c>
      <c r="I6" s="68" t="str">
        <f aca="false">格柵計算!B42</f>
        <v>撓度</v>
      </c>
      <c r="J6" s="24" t="str">
        <f aca="false">格柵計算!B44&amp;" kg/m²"</f>
        <v>1020 kg/m²</v>
      </c>
      <c r="K6" s="69" t="str">
        <f aca="false">IF(H6="OK","✅ 格柵均佈安全","❌ 格柵超載！")</f>
        <v>✅ 格柵均佈安全</v>
      </c>
    </row>
    <row r="7" customFormat="false" ht="16.5" hidden="false" customHeight="true" outlineLevel="0" collapsed="false">
      <c r="A7" s="24" t="n">
        <v>4</v>
      </c>
      <c r="B7" s="65" t="s">
        <v>394</v>
      </c>
      <c r="C7" s="24" t="str">
        <f aca="false">格柵計算!B4</f>
        <v>25×3 @30 溝距200</v>
      </c>
      <c r="D7" s="66" t="n">
        <f aca="false">格柵計算!B35</f>
        <v>0.631312058381229</v>
      </c>
      <c r="E7" s="66" t="n">
        <f aca="false">格柵計算!B36</f>
        <v>0.0086805408027419</v>
      </c>
      <c r="F7" s="66" t="n">
        <f aca="false">格柵計算!B37</f>
        <v>0.653776666666667</v>
      </c>
      <c r="G7" s="66" t="n">
        <f aca="false">IFERROR(MAX(D7,E7,F7),"")</f>
        <v>0.653776666666667</v>
      </c>
      <c r="H7" s="67" t="str">
        <f aca="false">格柵計算!B41</f>
        <v>OK</v>
      </c>
      <c r="I7" s="68" t="str">
        <f aca="false">格柵計算!B43</f>
        <v>撓度</v>
      </c>
      <c r="J7" s="24" t="str">
        <f aca="false">格柵計算!B45&amp;" kg"</f>
        <v>153 kg</v>
      </c>
      <c r="K7" s="69" t="str">
        <f aca="false">IF(H7="OK","✅ 踩上去安全","❌ 會踩壞！")</f>
        <v>✅ 踩上去安全</v>
      </c>
    </row>
    <row r="8" customFormat="false" ht="16.5" hidden="false" customHeight="true" outlineLevel="0" collapsed="false">
      <c r="A8" s="24" t="n">
        <v>5</v>
      </c>
      <c r="B8" s="24" t="s">
        <v>395</v>
      </c>
      <c r="C8" s="24" t="str">
        <f aca="false">Deck樓板!B4</f>
        <v>3.0W-1.2mm</v>
      </c>
      <c r="D8" s="66" t="n">
        <f aca="false">Deck樓板!B43</f>
        <v>0.150570484180305</v>
      </c>
      <c r="E8" s="66" t="n">
        <f aca="false">Deck樓板!B44</f>
        <v>0.136109927160724</v>
      </c>
      <c r="F8" s="66" t="n">
        <f aca="false">Deck樓板!B45</f>
        <v>7.14131228210889E-007</v>
      </c>
      <c r="G8" s="66" t="n">
        <f aca="false">IFERROR(MAX(D8,E8,F8),"")</f>
        <v>0.150570484180305</v>
      </c>
      <c r="H8" s="67" t="str">
        <f aca="false">Deck樓板!B48</f>
        <v>OK</v>
      </c>
      <c r="I8" s="68" t="str">
        <f aca="false">Deck樓板!B49</f>
        <v>正彎矩</v>
      </c>
      <c r="J8" s="24" t="str">
        <f aca="false">Deck樓板!B50&amp;" kg/m²"</f>
        <v>3321 kg/m²</v>
      </c>
      <c r="K8" s="69" t="str">
        <f aca="false">IF(H8="OK","✅ 樓板安全","❌ 樓板超標！")</f>
        <v>✅ 樓板安全</v>
      </c>
    </row>
    <row r="10" customFormat="false" ht="15" hidden="false" customHeight="true" outlineLevel="0" collapsed="false">
      <c r="A10" s="3" t="s">
        <v>396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B11" s="17" t="s">
        <v>397</v>
      </c>
      <c r="C11" s="70" t="str">
        <f aca="false">IFERROR(INDEX(B4:B8,MATCH(MAX(G4:G8),G4:G8,0)),"")</f>
        <v>格柵(集中)</v>
      </c>
      <c r="D11" s="70"/>
      <c r="K11" s="9" t="str">
        <f aca="false">IF(C11="","","⚠ 「"&amp;C11&amp;"」最接近極限，要優先注意！")</f>
        <v>⚠ 「格柵(集中)」最接近極限，要優先注意！</v>
      </c>
    </row>
    <row r="12" customFormat="false" ht="15" hidden="false" customHeight="true" outlineLevel="0" collapsed="false">
      <c r="B12" s="17" t="s">
        <v>398</v>
      </c>
      <c r="C12" s="71" t="n">
        <f aca="false">IFERROR(MAX(G4:G8),"")</f>
        <v>0.653776666666667</v>
      </c>
      <c r="D12" s="71"/>
      <c r="K12" s="9" t="str">
        <f aca="false">IF(C12="","","📊 最高 "&amp;ROUND(C12*100,1)&amp;"% — "&amp;IF(C12&lt;=0.6,"很安全",IF(C12&lt;=0.85,"尚可，有餘裕",IF(C12&lt;=1,"接近極限，要小心","已超標！"))))</f>
        <v>📊 最高 65.4% — 尚可，有餘裕</v>
      </c>
    </row>
    <row r="13" customFormat="false" ht="15" hidden="false" customHeight="true" outlineLevel="0" collapsed="false">
      <c r="B13" s="17" t="s">
        <v>399</v>
      </c>
      <c r="C13" s="70" t="str">
        <f aca="false">IF(OR(H4="NG",H5="NG",H6="NG",H7="NG",H8="NG"),"NG","OK")</f>
        <v>OK</v>
      </c>
      <c r="D13" s="70"/>
      <c r="K13" s="9" t="str">
        <f aca="false">IF(C13="OK","🟢 恭喜！所有構件都安全","🔴 有構件超標，需處理！看上面哪個是 NG")</f>
        <v>🟢 恭喜！所有構件都安全</v>
      </c>
    </row>
  </sheetData>
  <mergeCells count="5">
    <mergeCell ref="A1:K1"/>
    <mergeCell ref="A10:K10"/>
    <mergeCell ref="C11:D11"/>
    <mergeCell ref="C12:D12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5" style="1" width="12"/>
    <col collapsed="false" customWidth="true" hidden="false" outlineLevel="0" max="7" min="7" style="1" width="24"/>
    <col collapsed="false" customWidth="true" hidden="false" outlineLevel="0" max="11" min="10" style="1" width="14"/>
  </cols>
  <sheetData>
    <row r="1" customFormat="false" ht="15" hidden="false" customHeight="true" outlineLevel="0" collapsed="false">
      <c r="A1" s="72" t="s">
        <v>102</v>
      </c>
      <c r="B1" s="73" t="s">
        <v>400</v>
      </c>
      <c r="C1" s="73" t="s">
        <v>401</v>
      </c>
      <c r="D1" s="73" t="s">
        <v>402</v>
      </c>
      <c r="E1" s="72"/>
      <c r="F1" s="72" t="s">
        <v>403</v>
      </c>
      <c r="G1" s="72" t="s">
        <v>404</v>
      </c>
      <c r="H1" s="72" t="s">
        <v>106</v>
      </c>
      <c r="I1" s="72"/>
      <c r="J1" s="72" t="s">
        <v>81</v>
      </c>
      <c r="K1" s="72" t="s">
        <v>405</v>
      </c>
    </row>
    <row r="2" customFormat="false" ht="16.5" hidden="false" customHeight="true" outlineLevel="0" collapsed="false">
      <c r="A2" s="74" t="s">
        <v>103</v>
      </c>
      <c r="B2" s="74" t="n">
        <v>235.36</v>
      </c>
      <c r="C2" s="74" t="n">
        <v>200000</v>
      </c>
      <c r="D2" s="74" t="n">
        <v>2400</v>
      </c>
      <c r="E2" s="75" t="s">
        <v>406</v>
      </c>
      <c r="F2" s="74" t="s">
        <v>407</v>
      </c>
      <c r="G2" s="74" t="n">
        <v>9.80665</v>
      </c>
      <c r="H2" s="1" t="s">
        <v>408</v>
      </c>
      <c r="J2" s="74" t="s">
        <v>409</v>
      </c>
      <c r="K2" s="74" t="s">
        <v>410</v>
      </c>
    </row>
    <row r="3" customFormat="false" ht="16.5" hidden="false" customHeight="true" outlineLevel="0" collapsed="false">
      <c r="A3" s="74" t="s">
        <v>411</v>
      </c>
      <c r="B3" s="74" t="n">
        <v>215.75</v>
      </c>
      <c r="C3" s="74" t="n">
        <v>200000</v>
      </c>
      <c r="D3" s="74" t="n">
        <v>2200</v>
      </c>
      <c r="E3" s="75" t="s">
        <v>406</v>
      </c>
      <c r="F3" s="74" t="s">
        <v>412</v>
      </c>
      <c r="G3" s="74" t="n">
        <v>0.66</v>
      </c>
      <c r="H3" s="42" t="s">
        <v>413</v>
      </c>
      <c r="J3" s="74" t="s">
        <v>414</v>
      </c>
      <c r="K3" s="74" t="s">
        <v>415</v>
      </c>
    </row>
    <row r="4" customFormat="false" ht="16.5" hidden="false" customHeight="true" outlineLevel="0" collapsed="false">
      <c r="A4" s="74" t="s">
        <v>416</v>
      </c>
      <c r="B4" s="74" t="n">
        <v>323.62</v>
      </c>
      <c r="C4" s="74" t="n">
        <v>200000</v>
      </c>
      <c r="D4" s="74" t="n">
        <v>3300</v>
      </c>
      <c r="E4" s="74" t="s">
        <v>417</v>
      </c>
      <c r="F4" s="74" t="s">
        <v>418</v>
      </c>
      <c r="G4" s="74" t="n">
        <v>0.4</v>
      </c>
      <c r="H4" s="42" t="s">
        <v>419</v>
      </c>
      <c r="J4" s="75" t="s">
        <v>420</v>
      </c>
      <c r="K4" s="74" t="s">
        <v>421</v>
      </c>
    </row>
    <row r="5" customFormat="false" ht="16.5" hidden="false" customHeight="true" outlineLevel="0" collapsed="false">
      <c r="A5" s="74" t="s">
        <v>422</v>
      </c>
      <c r="B5" s="74" t="n">
        <v>338.33</v>
      </c>
      <c r="C5" s="74" t="n">
        <v>200000</v>
      </c>
      <c r="D5" s="74" t="n">
        <v>3450</v>
      </c>
      <c r="E5" s="74" t="s">
        <v>417</v>
      </c>
      <c r="F5" s="75" t="s">
        <v>423</v>
      </c>
      <c r="G5" s="74" t="n">
        <v>0.00785</v>
      </c>
      <c r="J5" s="74" t="s">
        <v>424</v>
      </c>
      <c r="K5" s="74" t="s">
        <v>425</v>
      </c>
    </row>
    <row r="6" customFormat="false" ht="16.5" hidden="false" customHeight="true" outlineLevel="0" collapsed="false">
      <c r="A6" s="74" t="s">
        <v>426</v>
      </c>
      <c r="B6" s="74" t="n">
        <v>235.36</v>
      </c>
      <c r="C6" s="74" t="n">
        <v>200000</v>
      </c>
      <c r="D6" s="74" t="n">
        <v>2400</v>
      </c>
      <c r="E6" s="74" t="s">
        <v>427</v>
      </c>
      <c r="F6" s="75" t="s">
        <v>106</v>
      </c>
      <c r="G6" s="74" t="s">
        <v>428</v>
      </c>
      <c r="J6" s="74" t="s">
        <v>429</v>
      </c>
      <c r="K6" s="74" t="s">
        <v>430</v>
      </c>
    </row>
    <row r="7" customFormat="false" ht="15" hidden="false" customHeight="true" outlineLevel="0" collapsed="false">
      <c r="J7" s="1" t="s">
        <v>431</v>
      </c>
      <c r="K7" s="1" t="s">
        <v>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2"/>
    <col collapsed="false" customWidth="true" hidden="false" outlineLevel="0" max="5" min="5" style="1" width="10"/>
    <col collapsed="false" customWidth="true" hidden="false" outlineLevel="0" max="8" min="6" style="1" width="12"/>
    <col collapsed="false" customWidth="true" hidden="false" outlineLevel="0" max="11" min="9" style="1" width="14"/>
    <col collapsed="false" customWidth="true" hidden="false" outlineLevel="0" max="12" min="12" style="1" width="12"/>
    <col collapsed="false" customWidth="true" hidden="false" outlineLevel="0" max="13" min="13" style="1" width="30"/>
    <col collapsed="false" customWidth="true" hidden="false" outlineLevel="0" max="14" min="14" style="1" width="26"/>
  </cols>
  <sheetData>
    <row r="1" customFormat="false" ht="16.5" hidden="false" customHeight="true" outlineLevel="0" collapsed="false">
      <c r="A1" s="72" t="s">
        <v>97</v>
      </c>
      <c r="B1" s="72" t="s">
        <v>81</v>
      </c>
      <c r="C1" s="73" t="s">
        <v>86</v>
      </c>
      <c r="D1" s="73" t="s">
        <v>91</v>
      </c>
      <c r="E1" s="73" t="s">
        <v>95</v>
      </c>
      <c r="F1" s="73" t="s">
        <v>100</v>
      </c>
      <c r="G1" s="72" t="s">
        <v>105</v>
      </c>
      <c r="H1" s="73" t="s">
        <v>109</v>
      </c>
      <c r="I1" s="72" t="s">
        <v>113</v>
      </c>
      <c r="J1" s="73" t="s">
        <v>117</v>
      </c>
      <c r="K1" s="73" t="s">
        <v>121</v>
      </c>
      <c r="L1" s="73" t="s">
        <v>125</v>
      </c>
      <c r="M1" s="72" t="s">
        <v>433</v>
      </c>
      <c r="N1" s="72" t="s">
        <v>434</v>
      </c>
      <c r="O1" s="76" t="s">
        <v>263</v>
      </c>
      <c r="P1" s="76" t="s">
        <v>265</v>
      </c>
      <c r="Q1" s="76" t="s">
        <v>266</v>
      </c>
    </row>
    <row r="2" customFormat="false" ht="32.25" hidden="false" customHeight="true" outlineLevel="0" collapsed="false">
      <c r="A2" s="74" t="s">
        <v>98</v>
      </c>
      <c r="B2" s="74" t="s">
        <v>409</v>
      </c>
      <c r="C2" s="74" t="n">
        <v>100</v>
      </c>
      <c r="D2" s="74" t="n">
        <v>50</v>
      </c>
      <c r="E2" s="74" t="n">
        <v>5</v>
      </c>
      <c r="F2" s="74" t="n">
        <v>7</v>
      </c>
      <c r="G2" s="74" t="n">
        <v>0</v>
      </c>
      <c r="H2" s="74" t="n">
        <f aca="false">2*D2*F2+(C2-2*F2)*E2</f>
        <v>1130</v>
      </c>
      <c r="I2" s="74" t="n">
        <f aca="false">H2*DB_Settings!$G$5</f>
        <v>8.8705</v>
      </c>
      <c r="J2" s="74" t="n">
        <f aca="false">(D2*C2^3-(D2-E2)*(C2-2*F2)^3)/12</f>
        <v>1781456.66666667</v>
      </c>
      <c r="K2" s="74" t="n">
        <f aca="false">J2/(C2/2)</f>
        <v>35629.1333333333</v>
      </c>
      <c r="L2" s="74" t="n">
        <f aca="false">E2*(C2-2*F2)</f>
        <v>430</v>
      </c>
      <c r="M2" s="77" t="s">
        <v>435</v>
      </c>
      <c r="N2" s="77" t="s">
        <v>436</v>
      </c>
      <c r="O2" s="1" t="n">
        <f aca="false">(2*F2*D2^3+(C2-2*F2)*E2^3)/12</f>
        <v>146729.166666667</v>
      </c>
      <c r="P2" s="1" t="n">
        <f aca="false">IFERROR(SQRT(J2/H2),"")</f>
        <v>39.7052934063429</v>
      </c>
      <c r="Q2" s="1" t="n">
        <f aca="false">IFERROR(SQRT(O2/H2),"")</f>
        <v>11.3951226434382</v>
      </c>
    </row>
    <row r="3" customFormat="false" ht="32.25" hidden="false" customHeight="true" outlineLevel="0" collapsed="false">
      <c r="A3" s="74" t="s">
        <v>437</v>
      </c>
      <c r="B3" s="74" t="s">
        <v>409</v>
      </c>
      <c r="C3" s="74" t="n">
        <v>100</v>
      </c>
      <c r="D3" s="74" t="n">
        <v>100</v>
      </c>
      <c r="E3" s="74" t="n">
        <v>6</v>
      </c>
      <c r="F3" s="74" t="n">
        <v>8</v>
      </c>
      <c r="G3" s="74" t="n">
        <v>0</v>
      </c>
      <c r="H3" s="74" t="n">
        <f aca="false">2*D3*F3+(C3-2*F3)*E3</f>
        <v>2104</v>
      </c>
      <c r="I3" s="74" t="n">
        <f aca="false">H3*DB_Settings!$G$5</f>
        <v>16.5164</v>
      </c>
      <c r="J3" s="74" t="n">
        <f aca="false">(D3*C3^3-(D3-E3)*(C3-2*F3)^3)/12</f>
        <v>3690485.33333333</v>
      </c>
      <c r="K3" s="74" t="n">
        <f aca="false">J3/(C3/2)</f>
        <v>73809.7066666667</v>
      </c>
      <c r="L3" s="74" t="n">
        <f aca="false">E3*(C3-2*F3)</f>
        <v>504</v>
      </c>
      <c r="M3" s="77" t="s">
        <v>435</v>
      </c>
      <c r="N3" s="77"/>
      <c r="O3" s="1" t="n">
        <f aca="false">(2*F3*D3^3+(C3-2*F3)*E3^3)/12</f>
        <v>1334845.33333333</v>
      </c>
      <c r="P3" s="1" t="n">
        <f aca="false">IFERROR(SQRT(J3/H3),"")</f>
        <v>41.8811765964759</v>
      </c>
      <c r="Q3" s="1" t="n">
        <f aca="false">IFERROR(SQRT(O3/H3),"")</f>
        <v>25.1879374433264</v>
      </c>
    </row>
    <row r="4" customFormat="false" ht="32.25" hidden="false" customHeight="true" outlineLevel="0" collapsed="false">
      <c r="A4" s="74" t="s">
        <v>438</v>
      </c>
      <c r="B4" s="74" t="s">
        <v>409</v>
      </c>
      <c r="C4" s="74" t="n">
        <v>125</v>
      </c>
      <c r="D4" s="74" t="n">
        <v>60</v>
      </c>
      <c r="E4" s="74" t="n">
        <v>6</v>
      </c>
      <c r="F4" s="74" t="n">
        <v>8</v>
      </c>
      <c r="G4" s="74" t="n">
        <v>0</v>
      </c>
      <c r="H4" s="74" t="n">
        <f aca="false">2*D4*F4+(C4-2*F4)*E4</f>
        <v>1614</v>
      </c>
      <c r="I4" s="74" t="n">
        <f aca="false">H4*DB_Settings!$G$5</f>
        <v>12.6699</v>
      </c>
      <c r="J4" s="74" t="n">
        <f aca="false">(D4*C4^3-(D4-E4)*(C4-2*F4)^3)/12</f>
        <v>3937994.5</v>
      </c>
      <c r="K4" s="74" t="n">
        <f aca="false">J4/(C4/2)</f>
        <v>63007.912</v>
      </c>
      <c r="L4" s="74" t="n">
        <f aca="false">E4*(C4-2*F4)</f>
        <v>654</v>
      </c>
      <c r="M4" s="77" t="s">
        <v>435</v>
      </c>
      <c r="N4" s="77"/>
      <c r="O4" s="1" t="n">
        <f aca="false">(2*F4*D4^3+(C4-2*F4)*E4^3)/12</f>
        <v>289962</v>
      </c>
      <c r="P4" s="1" t="n">
        <f aca="false">IFERROR(SQRT(J4/H4),"")</f>
        <v>49.3953181964383</v>
      </c>
      <c r="Q4" s="1" t="n">
        <f aca="false">IFERROR(SQRT(O4/H4),"")</f>
        <v>13.403517265738</v>
      </c>
    </row>
    <row r="5" customFormat="false" ht="32.25" hidden="false" customHeight="true" outlineLevel="0" collapsed="false">
      <c r="A5" s="74" t="s">
        <v>439</v>
      </c>
      <c r="B5" s="74" t="s">
        <v>409</v>
      </c>
      <c r="C5" s="74" t="n">
        <v>125</v>
      </c>
      <c r="D5" s="74" t="n">
        <v>125</v>
      </c>
      <c r="E5" s="74" t="n">
        <v>6.5</v>
      </c>
      <c r="F5" s="74" t="n">
        <v>9</v>
      </c>
      <c r="G5" s="74" t="n">
        <v>0</v>
      </c>
      <c r="H5" s="74" t="n">
        <f aca="false">2*D5*F5+(C5-2*F5)*E5</f>
        <v>2945.5</v>
      </c>
      <c r="I5" s="74" t="n">
        <f aca="false">H5*DB_Settings!$G$5</f>
        <v>23.122175</v>
      </c>
      <c r="J5" s="74" t="n">
        <f aca="false">(D5*C5^3-(D5-E5)*(C5-2*F5)^3)/12</f>
        <v>8247752.45833333</v>
      </c>
      <c r="K5" s="74" t="n">
        <f aca="false">J5/(C5/2)</f>
        <v>131964.039333333</v>
      </c>
      <c r="L5" s="74" t="n">
        <f aca="false">E5*(C5-2*F5)</f>
        <v>695.5</v>
      </c>
      <c r="M5" s="77" t="s">
        <v>435</v>
      </c>
      <c r="N5" s="77"/>
      <c r="O5" s="1" t="n">
        <f aca="false">(2*F5*D5^3+(C5-2*F5)*E5^3)/12</f>
        <v>2932136.23958333</v>
      </c>
      <c r="P5" s="1" t="n">
        <f aca="false">IFERROR(SQRT(J5/H5),"")</f>
        <v>52.9161568893021</v>
      </c>
      <c r="Q5" s="1" t="n">
        <f aca="false">IFERROR(SQRT(O5/H5),"")</f>
        <v>31.5509586361772</v>
      </c>
    </row>
    <row r="6" customFormat="false" ht="32.25" hidden="false" customHeight="true" outlineLevel="0" collapsed="false">
      <c r="A6" s="74" t="s">
        <v>440</v>
      </c>
      <c r="B6" s="74" t="s">
        <v>409</v>
      </c>
      <c r="C6" s="74" t="n">
        <v>150</v>
      </c>
      <c r="D6" s="74" t="n">
        <v>75</v>
      </c>
      <c r="E6" s="74" t="n">
        <v>5</v>
      </c>
      <c r="F6" s="74" t="n">
        <v>7</v>
      </c>
      <c r="G6" s="74" t="n">
        <v>0</v>
      </c>
      <c r="H6" s="74" t="n">
        <f aca="false">2*D6*F6+(C6-2*F6)*E6</f>
        <v>1730</v>
      </c>
      <c r="I6" s="74" t="n">
        <f aca="false">H6*DB_Settings!$G$5</f>
        <v>13.5805</v>
      </c>
      <c r="J6" s="74" t="n">
        <f aca="false">(D6*C6^3-(D6-E6)*(C6-2*F6)^3)/12</f>
        <v>6420256.66666667</v>
      </c>
      <c r="K6" s="74" t="n">
        <f aca="false">J6/(C6/2)</f>
        <v>85603.4222222222</v>
      </c>
      <c r="L6" s="74" t="n">
        <f aca="false">E6*(C6-2*F6)</f>
        <v>680</v>
      </c>
      <c r="M6" s="77" t="s">
        <v>435</v>
      </c>
      <c r="N6" s="77"/>
      <c r="O6" s="1" t="n">
        <f aca="false">(2*F6*D6^3+(C6-2*F6)*E6^3)/12</f>
        <v>493604.166666667</v>
      </c>
      <c r="P6" s="1" t="n">
        <f aca="false">IFERROR(SQRT(J6/H6),"")</f>
        <v>60.9190530227991</v>
      </c>
      <c r="Q6" s="1" t="n">
        <f aca="false">IFERROR(SQRT(O6/H6),"")</f>
        <v>16.8914276351345</v>
      </c>
    </row>
    <row r="7" customFormat="false" ht="32.25" hidden="false" customHeight="true" outlineLevel="0" collapsed="false">
      <c r="A7" s="74" t="s">
        <v>441</v>
      </c>
      <c r="B7" s="74" t="s">
        <v>409</v>
      </c>
      <c r="C7" s="74" t="n">
        <v>150</v>
      </c>
      <c r="D7" s="74" t="n">
        <v>100</v>
      </c>
      <c r="E7" s="74" t="n">
        <v>6</v>
      </c>
      <c r="F7" s="74" t="n">
        <v>9</v>
      </c>
      <c r="G7" s="74" t="n">
        <v>0</v>
      </c>
      <c r="H7" s="74" t="n">
        <f aca="false">2*D7*F7+(C7-2*F7)*E7</f>
        <v>2592</v>
      </c>
      <c r="I7" s="74" t="n">
        <f aca="false">H7*DB_Settings!$G$5</f>
        <v>20.3472</v>
      </c>
      <c r="J7" s="74" t="n">
        <f aca="false">(D7*C7^3-(D7-E7)*(C7-2*F7)^3)/12</f>
        <v>10108584</v>
      </c>
      <c r="K7" s="74" t="n">
        <f aca="false">J7/(C7/2)</f>
        <v>134781.12</v>
      </c>
      <c r="L7" s="74" t="n">
        <f aca="false">E7*(C7-2*F7)</f>
        <v>792</v>
      </c>
      <c r="M7" s="77" t="s">
        <v>435</v>
      </c>
      <c r="N7" s="77"/>
      <c r="O7" s="1" t="n">
        <f aca="false">(2*F7*D7^3+(C7-2*F7)*E7^3)/12</f>
        <v>1502376</v>
      </c>
      <c r="P7" s="1" t="n">
        <f aca="false">IFERROR(SQRT(J7/H7),"")</f>
        <v>62.449312779779</v>
      </c>
      <c r="Q7" s="1" t="n">
        <f aca="false">IFERROR(SQRT(O7/H7),"")</f>
        <v>24.0753062362739</v>
      </c>
    </row>
    <row r="8" customFormat="false" ht="32.25" hidden="false" customHeight="true" outlineLevel="0" collapsed="false">
      <c r="A8" s="74" t="s">
        <v>442</v>
      </c>
      <c r="B8" s="74" t="s">
        <v>409</v>
      </c>
      <c r="C8" s="74" t="n">
        <v>150</v>
      </c>
      <c r="D8" s="74" t="n">
        <v>150</v>
      </c>
      <c r="E8" s="74" t="n">
        <v>7</v>
      </c>
      <c r="F8" s="74" t="n">
        <v>10</v>
      </c>
      <c r="G8" s="74" t="n">
        <v>0</v>
      </c>
      <c r="H8" s="74" t="n">
        <f aca="false">2*D8*F8+(C8-2*F8)*E8</f>
        <v>3910</v>
      </c>
      <c r="I8" s="74" t="n">
        <f aca="false">H8*DB_Settings!$G$5</f>
        <v>30.6935</v>
      </c>
      <c r="J8" s="74" t="n">
        <f aca="false">(D8*C8^3-(D8-E8)*(C8-2*F8)^3)/12</f>
        <v>16006583.3333333</v>
      </c>
      <c r="K8" s="74" t="n">
        <f aca="false">J8/(C8/2)</f>
        <v>213421.111111111</v>
      </c>
      <c r="L8" s="74" t="n">
        <f aca="false">E8*(C8-2*F8)</f>
        <v>910</v>
      </c>
      <c r="M8" s="77" t="s">
        <v>435</v>
      </c>
      <c r="N8" s="77"/>
      <c r="O8" s="1" t="n">
        <f aca="false">(2*F8*D8^3+(C8-2*F8)*E8^3)/12</f>
        <v>5628715.83333333</v>
      </c>
      <c r="P8" s="1" t="n">
        <f aca="false">IFERROR(SQRT(J8/H8),"")</f>
        <v>63.982461098478</v>
      </c>
      <c r="Q8" s="1" t="n">
        <f aca="false">IFERROR(SQRT(O8/H8),"")</f>
        <v>37.9416560898068</v>
      </c>
    </row>
    <row r="9" customFormat="false" ht="32.25" hidden="false" customHeight="true" outlineLevel="0" collapsed="false">
      <c r="A9" s="74" t="s">
        <v>443</v>
      </c>
      <c r="B9" s="74" t="s">
        <v>409</v>
      </c>
      <c r="C9" s="74" t="n">
        <v>175</v>
      </c>
      <c r="D9" s="74" t="n">
        <v>90</v>
      </c>
      <c r="E9" s="74" t="n">
        <v>5</v>
      </c>
      <c r="F9" s="74" t="n">
        <v>8</v>
      </c>
      <c r="G9" s="74" t="n">
        <v>0</v>
      </c>
      <c r="H9" s="74" t="n">
        <f aca="false">2*D9*F9+(C9-2*F9)*E9</f>
        <v>2235</v>
      </c>
      <c r="I9" s="74" t="n">
        <f aca="false">H9*DB_Settings!$G$5</f>
        <v>17.54475</v>
      </c>
      <c r="J9" s="74" t="n">
        <f aca="false">(D9*C9^3-(D9-E9)*(C9-2*F9)^3)/12</f>
        <v>11722586.25</v>
      </c>
      <c r="K9" s="74" t="n">
        <f aca="false">J9/(C9/2)</f>
        <v>133972.414285714</v>
      </c>
      <c r="L9" s="74" t="n">
        <f aca="false">E9*(C9-2*F9)</f>
        <v>795</v>
      </c>
      <c r="M9" s="77" t="s">
        <v>435</v>
      </c>
      <c r="N9" s="77"/>
      <c r="O9" s="1" t="n">
        <f aca="false">(2*F9*D9^3+(C9-2*F9)*E9^3)/12</f>
        <v>973656.25</v>
      </c>
      <c r="P9" s="1" t="n">
        <f aca="false">IFERROR(SQRT(J9/H9),"")</f>
        <v>72.4224069853871</v>
      </c>
      <c r="Q9" s="1" t="n">
        <f aca="false">IFERROR(SQRT(O9/H9),"")</f>
        <v>20.8719999116807</v>
      </c>
    </row>
    <row r="10" customFormat="false" ht="32.25" hidden="false" customHeight="true" outlineLevel="0" collapsed="false">
      <c r="A10" s="74" t="s">
        <v>444</v>
      </c>
      <c r="B10" s="74" t="s">
        <v>409</v>
      </c>
      <c r="C10" s="74" t="n">
        <v>175</v>
      </c>
      <c r="D10" s="74" t="n">
        <v>175</v>
      </c>
      <c r="E10" s="74" t="n">
        <v>7.5</v>
      </c>
      <c r="F10" s="74" t="n">
        <v>11</v>
      </c>
      <c r="G10" s="74" t="n">
        <v>0</v>
      </c>
      <c r="H10" s="74" t="n">
        <f aca="false">2*D10*F10+(C10-2*F10)*E10</f>
        <v>4997.5</v>
      </c>
      <c r="I10" s="74" t="n">
        <f aca="false">H10*DB_Settings!$G$5</f>
        <v>39.230375</v>
      </c>
      <c r="J10" s="74" t="n">
        <f aca="false">(D10*C10^3-(D10-E10)*(C10-2*F10)^3)/12</f>
        <v>28164706.4583333</v>
      </c>
      <c r="K10" s="74" t="n">
        <f aca="false">J10/(C10/2)</f>
        <v>321882.35952381</v>
      </c>
      <c r="L10" s="74" t="n">
        <f aca="false">E10*(C10-2*F10)</f>
        <v>1147.5</v>
      </c>
      <c r="M10" s="77" t="s">
        <v>435</v>
      </c>
      <c r="N10" s="77"/>
      <c r="O10" s="1" t="n">
        <f aca="false">(2*F10*D10^3+(C10-2*F10)*E10^3)/12</f>
        <v>9830899.73958333</v>
      </c>
      <c r="P10" s="1" t="n">
        <f aca="false">IFERROR(SQRT(J10/H10),"")</f>
        <v>75.0716935419223</v>
      </c>
      <c r="Q10" s="1" t="n">
        <f aca="false">IFERROR(SQRT(O10/H10),"")</f>
        <v>44.3527172750611</v>
      </c>
    </row>
    <row r="11" customFormat="false" ht="32.25" hidden="false" customHeight="true" outlineLevel="0" collapsed="false">
      <c r="A11" s="74" t="s">
        <v>445</v>
      </c>
      <c r="B11" s="74" t="s">
        <v>409</v>
      </c>
      <c r="C11" s="74" t="n">
        <v>200</v>
      </c>
      <c r="D11" s="74" t="n">
        <v>100</v>
      </c>
      <c r="E11" s="74" t="n">
        <v>4.5</v>
      </c>
      <c r="F11" s="74" t="n">
        <v>7</v>
      </c>
      <c r="G11" s="74" t="n">
        <v>0</v>
      </c>
      <c r="H11" s="74" t="n">
        <f aca="false">2*D11*F11+(C11-2*F11)*E11</f>
        <v>2237</v>
      </c>
      <c r="I11" s="74" t="n">
        <f aca="false">H11*DB_Settings!$G$5</f>
        <v>17.56045</v>
      </c>
      <c r="J11" s="74" t="n">
        <f aca="false">(D11*C11^3-(D11-E11)*(C11-2*F11)^3)/12</f>
        <v>15455937.6666667</v>
      </c>
      <c r="K11" s="74" t="n">
        <f aca="false">J11/(C11/2)</f>
        <v>154559.376666667</v>
      </c>
      <c r="L11" s="74" t="n">
        <f aca="false">E11*(C11-2*F11)</f>
        <v>837</v>
      </c>
      <c r="M11" s="77" t="s">
        <v>435</v>
      </c>
      <c r="N11" s="77"/>
      <c r="O11" s="1" t="n">
        <f aca="false">(2*F11*D11^3+(C11-2*F11)*E11^3)/12</f>
        <v>1168079.10416667</v>
      </c>
      <c r="P11" s="1" t="n">
        <f aca="false">IFERROR(SQRT(J11/H11),"")</f>
        <v>83.1217516644205</v>
      </c>
      <c r="Q11" s="1" t="n">
        <f aca="false">IFERROR(SQRT(O11/H11),"")</f>
        <v>22.8508908254887</v>
      </c>
    </row>
    <row r="12" customFormat="false" ht="32.25" hidden="false" customHeight="true" outlineLevel="0" collapsed="false">
      <c r="A12" s="74" t="s">
        <v>446</v>
      </c>
      <c r="B12" s="74" t="s">
        <v>409</v>
      </c>
      <c r="C12" s="74" t="n">
        <v>200</v>
      </c>
      <c r="D12" s="74" t="n">
        <v>100</v>
      </c>
      <c r="E12" s="74" t="n">
        <v>5.5</v>
      </c>
      <c r="F12" s="74" t="n">
        <v>8</v>
      </c>
      <c r="G12" s="74" t="n">
        <v>0</v>
      </c>
      <c r="H12" s="74" t="n">
        <f aca="false">2*D12*F12+(C12-2*F12)*E12</f>
        <v>2612</v>
      </c>
      <c r="I12" s="74" t="n">
        <f aca="false">H12*DB_Settings!$G$5</f>
        <v>20.5042</v>
      </c>
      <c r="J12" s="74" t="n">
        <f aca="false">(D12*C12^3-(D12-E12)*(C12-2*F12)^3)/12</f>
        <v>17609322.6666667</v>
      </c>
      <c r="K12" s="74" t="n">
        <f aca="false">J12/(C12/2)</f>
        <v>176093.226666667</v>
      </c>
      <c r="L12" s="74" t="n">
        <f aca="false">E12*(C12-2*F12)</f>
        <v>1012</v>
      </c>
      <c r="M12" s="77" t="s">
        <v>435</v>
      </c>
      <c r="N12" s="77"/>
      <c r="O12" s="1" t="n">
        <f aca="false">(2*F12*D12^3+(C12-2*F12)*E12^3)/12</f>
        <v>1335884.41666667</v>
      </c>
      <c r="P12" s="1" t="n">
        <f aca="false">IFERROR(SQRT(J12/H12),"")</f>
        <v>82.1078611814343</v>
      </c>
      <c r="Q12" s="1" t="n">
        <f aca="false">IFERROR(SQRT(O12/H12),"")</f>
        <v>22.6150657940186</v>
      </c>
    </row>
    <row r="13" customFormat="false" ht="32.25" hidden="false" customHeight="true" outlineLevel="0" collapsed="false">
      <c r="A13" s="74" t="s">
        <v>447</v>
      </c>
      <c r="B13" s="74" t="s">
        <v>409</v>
      </c>
      <c r="C13" s="74" t="n">
        <v>200</v>
      </c>
      <c r="D13" s="74" t="n">
        <v>150</v>
      </c>
      <c r="E13" s="74" t="n">
        <v>6</v>
      </c>
      <c r="F13" s="74" t="n">
        <v>9</v>
      </c>
      <c r="G13" s="74" t="n">
        <v>0</v>
      </c>
      <c r="H13" s="74" t="n">
        <f aca="false">2*D13*F13+(C13-2*F13)*E13</f>
        <v>3792</v>
      </c>
      <c r="I13" s="74" t="n">
        <f aca="false">H13*DB_Settings!$G$5</f>
        <v>29.7672</v>
      </c>
      <c r="J13" s="74" t="n">
        <f aca="false">(D13*C13^3-(D13-E13)*(C13-2*F13)^3)/12</f>
        <v>27657184</v>
      </c>
      <c r="K13" s="74" t="n">
        <f aca="false">J13/(C13/2)</f>
        <v>276571.84</v>
      </c>
      <c r="L13" s="74" t="n">
        <f aca="false">E13*(C13-2*F13)</f>
        <v>1092</v>
      </c>
      <c r="M13" s="77" t="s">
        <v>435</v>
      </c>
      <c r="N13" s="77"/>
      <c r="O13" s="1" t="n">
        <f aca="false">(2*F13*D13^3+(C13-2*F13)*E13^3)/12</f>
        <v>5065776</v>
      </c>
      <c r="P13" s="1" t="n">
        <f aca="false">IFERROR(SQRT(J13/H13),"")</f>
        <v>85.4023488051388</v>
      </c>
      <c r="Q13" s="1" t="n">
        <f aca="false">IFERROR(SQRT(O13/H13),"")</f>
        <v>36.5501216469257</v>
      </c>
    </row>
    <row r="14" customFormat="false" ht="32.25" hidden="false" customHeight="true" outlineLevel="0" collapsed="false">
      <c r="A14" s="74" t="s">
        <v>246</v>
      </c>
      <c r="B14" s="74" t="s">
        <v>409</v>
      </c>
      <c r="C14" s="74" t="n">
        <v>200</v>
      </c>
      <c r="D14" s="74" t="n">
        <v>200</v>
      </c>
      <c r="E14" s="74" t="n">
        <v>8</v>
      </c>
      <c r="F14" s="74" t="n">
        <v>12</v>
      </c>
      <c r="G14" s="74" t="n">
        <v>0</v>
      </c>
      <c r="H14" s="74" t="n">
        <f aca="false">2*D14*F14+(C14-2*F14)*E14</f>
        <v>6208</v>
      </c>
      <c r="I14" s="74" t="n">
        <f aca="false">H14*DB_Settings!$G$5</f>
        <v>48.7328</v>
      </c>
      <c r="J14" s="74" t="n">
        <f aca="false">(D14*C14^3-(D14-E14)*(C14-2*F14)^3)/12</f>
        <v>46104917.3333333</v>
      </c>
      <c r="K14" s="74" t="n">
        <f aca="false">J14/(C14/2)</f>
        <v>461049.173333333</v>
      </c>
      <c r="L14" s="74" t="n">
        <f aca="false">E14*(C14-2*F14)</f>
        <v>1408</v>
      </c>
      <c r="M14" s="77" t="s">
        <v>435</v>
      </c>
      <c r="N14" s="77"/>
      <c r="O14" s="1" t="n">
        <f aca="false">(2*F14*D14^3+(C14-2*F14)*E14^3)/12</f>
        <v>16007509.3333333</v>
      </c>
      <c r="P14" s="1" t="n">
        <f aca="false">IFERROR(SQRT(J14/H14),"")</f>
        <v>86.1782696396</v>
      </c>
      <c r="Q14" s="1" t="n">
        <f aca="false">IFERROR(SQRT(O14/H14),"")</f>
        <v>50.7792202541748</v>
      </c>
    </row>
    <row r="15" customFormat="false" ht="32.25" hidden="false" customHeight="true" outlineLevel="0" collapsed="false">
      <c r="A15" s="74" t="s">
        <v>448</v>
      </c>
      <c r="B15" s="74" t="s">
        <v>409</v>
      </c>
      <c r="C15" s="74" t="n">
        <v>200</v>
      </c>
      <c r="D15" s="74" t="n">
        <v>200</v>
      </c>
      <c r="E15" s="74" t="n">
        <v>12</v>
      </c>
      <c r="F15" s="74" t="n">
        <v>12</v>
      </c>
      <c r="G15" s="74" t="n">
        <v>0</v>
      </c>
      <c r="H15" s="74" t="n">
        <f aca="false">2*D15*F15+(C15-2*F15)*E15</f>
        <v>6912</v>
      </c>
      <c r="I15" s="74" t="n">
        <f aca="false">H15*DB_Settings!$G$5</f>
        <v>54.2592</v>
      </c>
      <c r="J15" s="74" t="n">
        <f aca="false">(D15*C15^3-(D15-E15)*(C15-2*F15)^3)/12</f>
        <v>47922176</v>
      </c>
      <c r="K15" s="74" t="n">
        <f aca="false">J15/(C15/2)</f>
        <v>479221.76</v>
      </c>
      <c r="L15" s="74" t="n">
        <f aca="false">E15*(C15-2*F15)</f>
        <v>2112</v>
      </c>
      <c r="M15" s="77" t="s">
        <v>435</v>
      </c>
      <c r="N15" s="77"/>
      <c r="O15" s="1" t="n">
        <f aca="false">(2*F15*D15^3+(C15-2*F15)*E15^3)/12</f>
        <v>16025344</v>
      </c>
      <c r="P15" s="1" t="n">
        <f aca="false">IFERROR(SQRT(J15/H15),"")</f>
        <v>83.2657503730386</v>
      </c>
      <c r="Q15" s="1" t="n">
        <f aca="false">IFERROR(SQRT(O15/H15),"")</f>
        <v>48.1506124725479</v>
      </c>
    </row>
    <row r="16" customFormat="false" ht="32.25" hidden="false" customHeight="true" outlineLevel="0" collapsed="false">
      <c r="A16" s="74" t="s">
        <v>449</v>
      </c>
      <c r="B16" s="74" t="s">
        <v>409</v>
      </c>
      <c r="C16" s="74" t="n">
        <v>250</v>
      </c>
      <c r="D16" s="74" t="n">
        <v>125</v>
      </c>
      <c r="E16" s="74" t="n">
        <v>6</v>
      </c>
      <c r="F16" s="74" t="n">
        <v>9</v>
      </c>
      <c r="G16" s="74" t="n">
        <v>0</v>
      </c>
      <c r="H16" s="74" t="n">
        <f aca="false">2*D16*F16+(C16-2*F16)*E16</f>
        <v>3642</v>
      </c>
      <c r="I16" s="74" t="n">
        <f aca="false">H16*DB_Settings!$G$5</f>
        <v>28.5897</v>
      </c>
      <c r="J16" s="74" t="n">
        <f aca="false">(D16*C16^3-(D16-E16)*(C16-2*F16)^3)/12</f>
        <v>38929334</v>
      </c>
      <c r="K16" s="74" t="n">
        <f aca="false">J16/(C16/2)</f>
        <v>311434.672</v>
      </c>
      <c r="L16" s="74" t="n">
        <f aca="false">E16*(C16-2*F16)</f>
        <v>1392</v>
      </c>
      <c r="M16" s="77" t="s">
        <v>435</v>
      </c>
      <c r="N16" s="77"/>
      <c r="O16" s="1" t="n">
        <f aca="false">(2*F16*D16^3+(C16-2*F16)*E16^3)/12</f>
        <v>2933863.5</v>
      </c>
      <c r="P16" s="1" t="n">
        <f aca="false">IFERROR(SQRT(J16/H16),"")</f>
        <v>103.387614837089</v>
      </c>
      <c r="Q16" s="1" t="n">
        <f aca="false">IFERROR(SQRT(O16/H16),"")</f>
        <v>28.3824565277611</v>
      </c>
    </row>
    <row r="17" customFormat="false" ht="32.25" hidden="false" customHeight="true" outlineLevel="0" collapsed="false">
      <c r="A17" s="74" t="s">
        <v>450</v>
      </c>
      <c r="B17" s="74" t="s">
        <v>409</v>
      </c>
      <c r="C17" s="74" t="n">
        <v>250</v>
      </c>
      <c r="D17" s="74" t="n">
        <v>125</v>
      </c>
      <c r="E17" s="74" t="n">
        <v>8</v>
      </c>
      <c r="F17" s="74" t="n">
        <v>9</v>
      </c>
      <c r="G17" s="74" t="n">
        <v>0</v>
      </c>
      <c r="H17" s="74" t="n">
        <f aca="false">2*D17*F17+(C17-2*F17)*E17</f>
        <v>4106</v>
      </c>
      <c r="I17" s="74" t="n">
        <f aca="false">H17*DB_Settings!$G$5</f>
        <v>32.2321</v>
      </c>
      <c r="J17" s="74" t="n">
        <f aca="false">(D17*C17^3-(D17-E17)*(C17-2*F17)^3)/12</f>
        <v>41010528.6666667</v>
      </c>
      <c r="K17" s="74" t="n">
        <f aca="false">J17/(C17/2)</f>
        <v>328084.229333333</v>
      </c>
      <c r="L17" s="74" t="n">
        <f aca="false">E17*(C17-2*F17)</f>
        <v>1856</v>
      </c>
      <c r="M17" s="77" t="s">
        <v>435</v>
      </c>
      <c r="N17" s="77"/>
      <c r="O17" s="1" t="n">
        <f aca="false">(2*F17*D17^3+(C17-2*F17)*E17^3)/12</f>
        <v>2939586.16666667</v>
      </c>
      <c r="P17" s="1" t="n">
        <f aca="false">IFERROR(SQRT(J17/H17),"")</f>
        <v>99.9397391089149</v>
      </c>
      <c r="Q17" s="1" t="n">
        <f aca="false">IFERROR(SQRT(O17/H17),"")</f>
        <v>26.7567662717609</v>
      </c>
    </row>
    <row r="18" customFormat="false" ht="32.25" hidden="false" customHeight="true" outlineLevel="0" collapsed="false">
      <c r="A18" s="74" t="s">
        <v>451</v>
      </c>
      <c r="B18" s="74" t="s">
        <v>409</v>
      </c>
      <c r="C18" s="74" t="n">
        <v>250</v>
      </c>
      <c r="D18" s="74" t="n">
        <v>175</v>
      </c>
      <c r="E18" s="74" t="n">
        <v>7</v>
      </c>
      <c r="F18" s="74" t="n">
        <v>11</v>
      </c>
      <c r="G18" s="74" t="n">
        <v>0</v>
      </c>
      <c r="H18" s="74" t="n">
        <f aca="false">2*D18*F18+(C18-2*F18)*E18</f>
        <v>5446</v>
      </c>
      <c r="I18" s="74" t="n">
        <f aca="false">H18*DB_Settings!$G$5</f>
        <v>42.7511</v>
      </c>
      <c r="J18" s="74" t="n">
        <f aca="false">(D18*C18^3-(D18-E18)*(C18-2*F18)^3)/12</f>
        <v>61931655.3333333</v>
      </c>
      <c r="K18" s="74" t="n">
        <f aca="false">J18/(C18/2)</f>
        <v>495453.242666667</v>
      </c>
      <c r="L18" s="74" t="n">
        <f aca="false">E18*(C18-2*F18)</f>
        <v>1596</v>
      </c>
      <c r="M18" s="77" t="s">
        <v>435</v>
      </c>
      <c r="N18" s="77"/>
      <c r="O18" s="1" t="n">
        <f aca="false">(2*F18*D18^3+(C18-2*F18)*E18^3)/12</f>
        <v>9832037.83333333</v>
      </c>
      <c r="P18" s="1" t="n">
        <f aca="false">IFERROR(SQRT(J18/H18),"")</f>
        <v>106.63935891878</v>
      </c>
      <c r="Q18" s="1" t="n">
        <f aca="false">IFERROR(SQRT(O18/H18),"")</f>
        <v>42.4896302687731</v>
      </c>
    </row>
    <row r="19" customFormat="false" ht="32.25" hidden="false" customHeight="true" outlineLevel="0" collapsed="false">
      <c r="A19" s="74" t="s">
        <v>452</v>
      </c>
      <c r="B19" s="74" t="s">
        <v>409</v>
      </c>
      <c r="C19" s="74" t="n">
        <v>250</v>
      </c>
      <c r="D19" s="74" t="n">
        <v>250</v>
      </c>
      <c r="E19" s="74" t="n">
        <v>9</v>
      </c>
      <c r="F19" s="74" t="n">
        <v>14</v>
      </c>
      <c r="G19" s="74" t="n">
        <v>0</v>
      </c>
      <c r="H19" s="74" t="n">
        <f aca="false">2*D19*F19+(C19-2*F19)*E19</f>
        <v>8998</v>
      </c>
      <c r="I19" s="74" t="n">
        <f aca="false">H19*DB_Settings!$G$5</f>
        <v>70.6343</v>
      </c>
      <c r="J19" s="74" t="n">
        <f aca="false">(D19*C19^3-(D19-E19)*(C19-2*F19)^3)/12</f>
        <v>105788119.333333</v>
      </c>
      <c r="K19" s="74" t="n">
        <f aca="false">J19/(C19/2)</f>
        <v>846304.954666667</v>
      </c>
      <c r="L19" s="74" t="n">
        <f aca="false">E19*(C19-2*F19)</f>
        <v>1998</v>
      </c>
      <c r="M19" s="77" t="s">
        <v>435</v>
      </c>
      <c r="N19" s="77"/>
      <c r="O19" s="1" t="n">
        <f aca="false">(2*F19*D19^3+(C19-2*F19)*E19^3)/12</f>
        <v>36471819.8333333</v>
      </c>
      <c r="P19" s="1" t="n">
        <f aca="false">IFERROR(SQRT(J19/H19),"")</f>
        <v>108.429000338451</v>
      </c>
      <c r="Q19" s="1" t="n">
        <f aca="false">IFERROR(SQRT(O19/H19),"")</f>
        <v>63.6657299090449</v>
      </c>
    </row>
    <row r="20" customFormat="false" ht="32.25" hidden="false" customHeight="true" outlineLevel="0" collapsed="false">
      <c r="A20" s="74" t="s">
        <v>453</v>
      </c>
      <c r="B20" s="74" t="s">
        <v>409</v>
      </c>
      <c r="C20" s="74" t="n">
        <v>250</v>
      </c>
      <c r="D20" s="74" t="n">
        <v>250</v>
      </c>
      <c r="E20" s="74" t="n">
        <v>14</v>
      </c>
      <c r="F20" s="74" t="n">
        <v>14</v>
      </c>
      <c r="G20" s="74" t="n">
        <v>0</v>
      </c>
      <c r="H20" s="74" t="n">
        <f aca="false">2*D20*F20+(C20-2*F20)*E20</f>
        <v>10108</v>
      </c>
      <c r="I20" s="74" t="n">
        <f aca="false">H20*DB_Settings!$G$5</f>
        <v>79.3478</v>
      </c>
      <c r="J20" s="74" t="n">
        <f aca="false">(D20*C20^3-(D20-E20)*(C20-2*F20)^3)/12</f>
        <v>110346889.333333</v>
      </c>
      <c r="K20" s="74" t="n">
        <f aca="false">J20/(C20/2)</f>
        <v>882775.114666667</v>
      </c>
      <c r="L20" s="74" t="n">
        <f aca="false">E20*(C20-2*F20)</f>
        <v>3108</v>
      </c>
      <c r="M20" s="77" t="s">
        <v>435</v>
      </c>
      <c r="N20" s="77"/>
      <c r="O20" s="1" t="n">
        <f aca="false">(2*F20*D20^3+(C20-2*F20)*E20^3)/12</f>
        <v>36509097.3333333</v>
      </c>
      <c r="P20" s="1" t="n">
        <f aca="false">IFERROR(SQRT(J20/H20),"")</f>
        <v>104.483432308487</v>
      </c>
      <c r="Q20" s="1" t="n">
        <f aca="false">IFERROR(SQRT(O20/H20),"")</f>
        <v>60.0990948381866</v>
      </c>
    </row>
    <row r="21" customFormat="false" ht="32.25" hidden="false" customHeight="true" outlineLevel="0" collapsed="false">
      <c r="A21" s="74" t="s">
        <v>454</v>
      </c>
      <c r="B21" s="74" t="s">
        <v>409</v>
      </c>
      <c r="C21" s="74" t="n">
        <v>300</v>
      </c>
      <c r="D21" s="74" t="n">
        <v>150</v>
      </c>
      <c r="E21" s="74" t="n">
        <v>5.5</v>
      </c>
      <c r="F21" s="74" t="n">
        <v>8</v>
      </c>
      <c r="G21" s="74" t="n">
        <v>0</v>
      </c>
      <c r="H21" s="74" t="n">
        <f aca="false">2*D21*F21+(C21-2*F21)*E21</f>
        <v>3962</v>
      </c>
      <c r="I21" s="74" t="n">
        <f aca="false">H21*DB_Settings!$G$5</f>
        <v>31.1017</v>
      </c>
      <c r="J21" s="74" t="n">
        <f aca="false">(D21*C21^3-(D21-E21)*(C21-2*F21)^3)/12</f>
        <v>61669922.6666667</v>
      </c>
      <c r="K21" s="74" t="n">
        <f aca="false">J21/(C21/2)</f>
        <v>411132.817777778</v>
      </c>
      <c r="L21" s="74" t="n">
        <f aca="false">E21*(C21-2*F21)</f>
        <v>1562</v>
      </c>
      <c r="M21" s="77" t="s">
        <v>435</v>
      </c>
      <c r="N21" s="77"/>
      <c r="O21" s="1" t="n">
        <f aca="false">(2*F21*D21^3+(C21-2*F21)*E21^3)/12</f>
        <v>4503937.54166667</v>
      </c>
      <c r="P21" s="1" t="n">
        <f aca="false">IFERROR(SQRT(J21/H21),"")</f>
        <v>124.761177879873</v>
      </c>
      <c r="Q21" s="1" t="n">
        <f aca="false">IFERROR(SQRT(O21/H21),"")</f>
        <v>33.716225052917</v>
      </c>
    </row>
    <row r="22" customFormat="false" ht="32.25" hidden="false" customHeight="true" outlineLevel="0" collapsed="false">
      <c r="A22" s="74" t="s">
        <v>455</v>
      </c>
      <c r="B22" s="74" t="s">
        <v>409</v>
      </c>
      <c r="C22" s="74" t="n">
        <v>300</v>
      </c>
      <c r="D22" s="74" t="n">
        <v>150</v>
      </c>
      <c r="E22" s="74" t="n">
        <v>6.5</v>
      </c>
      <c r="F22" s="74" t="n">
        <v>9</v>
      </c>
      <c r="G22" s="74" t="n">
        <v>0</v>
      </c>
      <c r="H22" s="74" t="n">
        <f aca="false">2*D22*F22+(C22-2*F22)*E22</f>
        <v>4533</v>
      </c>
      <c r="I22" s="74" t="n">
        <f aca="false">H22*DB_Settings!$G$5</f>
        <v>35.58405</v>
      </c>
      <c r="J22" s="74" t="n">
        <f aca="false">(D22*C22^3-(D22-E22)*(C22-2*F22)^3)/12</f>
        <v>69325191</v>
      </c>
      <c r="K22" s="74" t="n">
        <f aca="false">J22/(C22/2)</f>
        <v>462167.94</v>
      </c>
      <c r="L22" s="74" t="n">
        <f aca="false">E22*(C22-2*F22)</f>
        <v>1833</v>
      </c>
      <c r="M22" s="77" t="s">
        <v>435</v>
      </c>
      <c r="N22" s="77"/>
      <c r="O22" s="1" t="n">
        <f aca="false">(2*F22*D22^3+(C22-2*F22)*E22^3)/12</f>
        <v>5068953.6875</v>
      </c>
      <c r="P22" s="1" t="n">
        <f aca="false">IFERROR(SQRT(J22/H22),"")</f>
        <v>123.666673207499</v>
      </c>
      <c r="Q22" s="1" t="n">
        <f aca="false">IFERROR(SQRT(O22/H22),"")</f>
        <v>33.4400025685509</v>
      </c>
    </row>
    <row r="23" customFormat="false" ht="32.25" hidden="false" customHeight="true" outlineLevel="0" collapsed="false">
      <c r="A23" s="74" t="s">
        <v>456</v>
      </c>
      <c r="B23" s="74" t="s">
        <v>409</v>
      </c>
      <c r="C23" s="74" t="n">
        <v>300</v>
      </c>
      <c r="D23" s="74" t="n">
        <v>200</v>
      </c>
      <c r="E23" s="74" t="n">
        <v>8</v>
      </c>
      <c r="F23" s="74" t="n">
        <v>12</v>
      </c>
      <c r="G23" s="74" t="n">
        <v>0</v>
      </c>
      <c r="H23" s="74" t="n">
        <f aca="false">2*D23*F23+(C23-2*F23)*E23</f>
        <v>7008</v>
      </c>
      <c r="I23" s="74" t="n">
        <f aca="false">H23*DB_Settings!$G$5</f>
        <v>55.0128</v>
      </c>
      <c r="J23" s="74" t="n">
        <f aca="false">(D23*C23^3-(D23-E23)*(C23-2*F23)^3)/12</f>
        <v>113606784</v>
      </c>
      <c r="K23" s="74" t="n">
        <f aca="false">J23/(C23/2)</f>
        <v>757378.56</v>
      </c>
      <c r="L23" s="74" t="n">
        <f aca="false">E23*(C23-2*F23)</f>
        <v>2208</v>
      </c>
      <c r="M23" s="77" t="s">
        <v>435</v>
      </c>
      <c r="N23" s="77"/>
      <c r="O23" s="1" t="n">
        <f aca="false">(2*F23*D23^3+(C23-2*F23)*E23^3)/12</f>
        <v>16011776</v>
      </c>
      <c r="P23" s="1" t="n">
        <f aca="false">IFERROR(SQRT(J23/H23),"")</f>
        <v>127.322479156786</v>
      </c>
      <c r="Q23" s="1" t="n">
        <f aca="false">IFERROR(SQRT(O23/H23),"")</f>
        <v>47.7994287426937</v>
      </c>
    </row>
    <row r="24" customFormat="false" ht="32.25" hidden="false" customHeight="true" outlineLevel="0" collapsed="false">
      <c r="A24" s="74" t="s">
        <v>457</v>
      </c>
      <c r="B24" s="74" t="s">
        <v>409</v>
      </c>
      <c r="C24" s="74" t="n">
        <v>300</v>
      </c>
      <c r="D24" s="74" t="n">
        <v>300</v>
      </c>
      <c r="E24" s="74" t="n">
        <v>12</v>
      </c>
      <c r="F24" s="74" t="n">
        <v>12</v>
      </c>
      <c r="G24" s="74" t="n">
        <v>0</v>
      </c>
      <c r="H24" s="74" t="n">
        <f aca="false">2*D24*F24+(C24-2*F24)*E24</f>
        <v>10512</v>
      </c>
      <c r="I24" s="74" t="n">
        <f aca="false">H24*DB_Settings!$G$5</f>
        <v>82.5192</v>
      </c>
      <c r="J24" s="74" t="n">
        <f aca="false">(D24*C24^3-(D24-E24)*(C24-2*F24)^3)/12</f>
        <v>170410176</v>
      </c>
      <c r="K24" s="74" t="n">
        <f aca="false">J24/(C24/2)</f>
        <v>1136067.84</v>
      </c>
      <c r="L24" s="74" t="n">
        <f aca="false">E24*(C24-2*F24)</f>
        <v>3312</v>
      </c>
      <c r="M24" s="77" t="s">
        <v>435</v>
      </c>
      <c r="N24" s="77"/>
      <c r="O24" s="1" t="n">
        <f aca="false">(2*F24*D24^3+(C24-2*F24)*E24^3)/12</f>
        <v>54039744</v>
      </c>
      <c r="P24" s="1" t="n">
        <f aca="false">IFERROR(SQRT(J24/H24),"")</f>
        <v>127.322479156786</v>
      </c>
      <c r="Q24" s="1" t="n">
        <f aca="false">IFERROR(SQRT(O24/H24),"")</f>
        <v>71.6991431140406</v>
      </c>
    </row>
    <row r="25" customFormat="false" ht="32.25" hidden="false" customHeight="true" outlineLevel="0" collapsed="false">
      <c r="A25" s="74" t="s">
        <v>458</v>
      </c>
      <c r="B25" s="74" t="s">
        <v>409</v>
      </c>
      <c r="C25" s="74" t="n">
        <v>300</v>
      </c>
      <c r="D25" s="74" t="n">
        <v>300</v>
      </c>
      <c r="E25" s="74" t="n">
        <v>10</v>
      </c>
      <c r="F25" s="74" t="n">
        <v>15</v>
      </c>
      <c r="G25" s="74" t="n">
        <v>0</v>
      </c>
      <c r="H25" s="74" t="n">
        <f aca="false">2*D25*F25+(C25-2*F25)*E25</f>
        <v>11700</v>
      </c>
      <c r="I25" s="74" t="n">
        <f aca="false">H25*DB_Settings!$G$5</f>
        <v>91.845</v>
      </c>
      <c r="J25" s="74" t="n">
        <f aca="false">(D25*C25^3-(D25-E25)*(C25-2*F25)^3)/12</f>
        <v>199327500</v>
      </c>
      <c r="K25" s="74" t="n">
        <f aca="false">J25/(C25/2)</f>
        <v>1328850</v>
      </c>
      <c r="L25" s="74" t="n">
        <f aca="false">E25*(C25-2*F25)</f>
        <v>2700</v>
      </c>
      <c r="M25" s="77" t="s">
        <v>435</v>
      </c>
      <c r="N25" s="77"/>
      <c r="O25" s="1" t="n">
        <f aca="false">(2*F25*D25^3+(C25-2*F25)*E25^3)/12</f>
        <v>67522500</v>
      </c>
      <c r="P25" s="1" t="n">
        <f aca="false">IFERROR(SQRT(J25/H25),"")</f>
        <v>130.524091498614</v>
      </c>
      <c r="Q25" s="1" t="n">
        <f aca="false">IFERROR(SQRT(O25/H25),"")</f>
        <v>75.9681107186025</v>
      </c>
    </row>
    <row r="26" customFormat="false" ht="32.25" hidden="false" customHeight="true" outlineLevel="0" collapsed="false">
      <c r="A26" s="74" t="s">
        <v>459</v>
      </c>
      <c r="B26" s="74" t="s">
        <v>409</v>
      </c>
      <c r="C26" s="74" t="n">
        <v>300</v>
      </c>
      <c r="D26" s="74" t="n">
        <v>300</v>
      </c>
      <c r="E26" s="74" t="n">
        <v>15</v>
      </c>
      <c r="F26" s="74" t="n">
        <v>15</v>
      </c>
      <c r="G26" s="74" t="n">
        <v>0</v>
      </c>
      <c r="H26" s="74" t="n">
        <f aca="false">2*D26*F26+(C26-2*F26)*E26</f>
        <v>13050</v>
      </c>
      <c r="I26" s="74" t="n">
        <f aca="false">H26*DB_Settings!$G$5</f>
        <v>102.4425</v>
      </c>
      <c r="J26" s="74" t="n">
        <f aca="false">(D26*C26^3-(D26-E26)*(C26-2*F26)^3)/12</f>
        <v>207528750</v>
      </c>
      <c r="K26" s="74" t="n">
        <f aca="false">J26/(C26/2)</f>
        <v>1383525</v>
      </c>
      <c r="L26" s="74" t="n">
        <f aca="false">E26*(C26-2*F26)</f>
        <v>4050</v>
      </c>
      <c r="M26" s="77" t="s">
        <v>435</v>
      </c>
      <c r="N26" s="77"/>
      <c r="O26" s="1" t="n">
        <f aca="false">(2*F26*D26^3+(C26-2*F26)*E26^3)/12</f>
        <v>67575937.5</v>
      </c>
      <c r="P26" s="1" t="n">
        <f aca="false">IFERROR(SQRT(J26/H26),"")</f>
        <v>126.105456689616</v>
      </c>
      <c r="Q26" s="1" t="n">
        <f aca="false">IFERROR(SQRT(O26/H26),"")</f>
        <v>71.9599385673771</v>
      </c>
    </row>
    <row r="27" customFormat="false" ht="32.25" hidden="false" customHeight="true" outlineLevel="0" collapsed="false">
      <c r="A27" s="74" t="s">
        <v>460</v>
      </c>
      <c r="B27" s="74" t="s">
        <v>409</v>
      </c>
      <c r="C27" s="74" t="n">
        <v>300</v>
      </c>
      <c r="D27" s="74" t="n">
        <v>300</v>
      </c>
      <c r="E27" s="74" t="n">
        <v>11</v>
      </c>
      <c r="F27" s="74" t="n">
        <v>17</v>
      </c>
      <c r="G27" s="74" t="n">
        <v>0</v>
      </c>
      <c r="H27" s="74" t="n">
        <f aca="false">2*D27*F27+(C27-2*F27)*E27</f>
        <v>13126</v>
      </c>
      <c r="I27" s="74" t="n">
        <f aca="false">H27*DB_Settings!$G$5</f>
        <v>103.0391</v>
      </c>
      <c r="J27" s="74" t="n">
        <f aca="false">(D27*C27^3-(D27-E27)*(C27-2*F27)^3)/12</f>
        <v>221725271.333333</v>
      </c>
      <c r="K27" s="74" t="n">
        <f aca="false">J27/(C27/2)</f>
        <v>1478168.47555556</v>
      </c>
      <c r="L27" s="74" t="n">
        <f aca="false">E27*(C27-2*F27)</f>
        <v>2926</v>
      </c>
      <c r="M27" s="77" t="s">
        <v>435</v>
      </c>
      <c r="N27" s="77"/>
      <c r="O27" s="1" t="n">
        <f aca="false">(2*F27*D27^3+(C27-2*F27)*E27^3)/12</f>
        <v>76529503.8333333</v>
      </c>
      <c r="P27" s="1" t="n">
        <f aca="false">IFERROR(SQRT(J27/H27),"")</f>
        <v>129.969484848257</v>
      </c>
      <c r="Q27" s="1" t="n">
        <f aca="false">IFERROR(SQRT(O27/H27),"")</f>
        <v>76.3568930786588</v>
      </c>
    </row>
    <row r="28" customFormat="false" ht="32.25" hidden="false" customHeight="true" outlineLevel="0" collapsed="false">
      <c r="A28" s="74" t="s">
        <v>461</v>
      </c>
      <c r="B28" s="74" t="s">
        <v>409</v>
      </c>
      <c r="C28" s="74" t="n">
        <v>300</v>
      </c>
      <c r="D28" s="74" t="n">
        <v>300</v>
      </c>
      <c r="E28" s="74" t="n">
        <v>13</v>
      </c>
      <c r="F28" s="74" t="n">
        <v>21</v>
      </c>
      <c r="G28" s="74" t="n">
        <v>0</v>
      </c>
      <c r="H28" s="74" t="n">
        <f aca="false">2*D28*F28+(C28-2*F28)*E28</f>
        <v>15954</v>
      </c>
      <c r="I28" s="74" t="n">
        <f aca="false">H28*DB_Settings!$G$5</f>
        <v>125.2389</v>
      </c>
      <c r="J28" s="74" t="n">
        <f aca="false">(D28*C28^3-(D28-E28)*(C28-2*F28)^3)/12</f>
        <v>264266838</v>
      </c>
      <c r="K28" s="74" t="n">
        <f aca="false">J28/(C28/2)</f>
        <v>1761778.92</v>
      </c>
      <c r="L28" s="74" t="n">
        <f aca="false">E28*(C28-2*F28)</f>
        <v>3354</v>
      </c>
      <c r="M28" s="77" t="s">
        <v>435</v>
      </c>
      <c r="N28" s="77"/>
      <c r="O28" s="1" t="n">
        <f aca="false">(2*F28*D28^3+(C28-2*F28)*E28^3)/12</f>
        <v>94547235.5</v>
      </c>
      <c r="P28" s="1" t="n">
        <f aca="false">IFERROR(SQRT(J28/H28),"")</f>
        <v>128.702368807816</v>
      </c>
      <c r="Q28" s="1" t="n">
        <f aca="false">IFERROR(SQRT(O28/H28),"")</f>
        <v>76.9820768699294</v>
      </c>
    </row>
    <row r="29" customFormat="false" ht="32.25" hidden="false" customHeight="true" outlineLevel="0" collapsed="false">
      <c r="A29" s="74" t="s">
        <v>462</v>
      </c>
      <c r="B29" s="74" t="s">
        <v>409</v>
      </c>
      <c r="C29" s="74" t="n">
        <v>300</v>
      </c>
      <c r="D29" s="74" t="n">
        <v>300</v>
      </c>
      <c r="E29" s="74" t="n">
        <v>17</v>
      </c>
      <c r="F29" s="74" t="n">
        <v>24</v>
      </c>
      <c r="G29" s="74" t="n">
        <v>0</v>
      </c>
      <c r="H29" s="74" t="n">
        <f aca="false">2*D29*F29+(C29-2*F29)*E29</f>
        <v>18684</v>
      </c>
      <c r="I29" s="74" t="n">
        <f aca="false">H29*DB_Settings!$G$5</f>
        <v>146.6694</v>
      </c>
      <c r="J29" s="74" t="n">
        <f aca="false">(D29*C29^3-(D29-E29)*(C29-2*F29)^3)/12</f>
        <v>297595728</v>
      </c>
      <c r="K29" s="74" t="n">
        <f aca="false">J29/(C29/2)</f>
        <v>1983971.52</v>
      </c>
      <c r="L29" s="74" t="n">
        <f aca="false">E29*(C29-2*F29)</f>
        <v>4284</v>
      </c>
      <c r="M29" s="77" t="s">
        <v>435</v>
      </c>
      <c r="N29" s="77"/>
      <c r="O29" s="1" t="n">
        <f aca="false">(2*F29*D29^3+(C29-2*F29)*E29^3)/12</f>
        <v>108103173</v>
      </c>
      <c r="P29" s="1" t="n">
        <f aca="false">IFERROR(SQRT(J29/H29),"")</f>
        <v>126.20553930113</v>
      </c>
      <c r="Q29" s="1" t="n">
        <f aca="false">IFERROR(SQRT(O29/H29),"")</f>
        <v>76.0648987262864</v>
      </c>
    </row>
    <row r="30" customFormat="false" ht="32.25" hidden="false" customHeight="true" outlineLevel="0" collapsed="false">
      <c r="A30" s="74" t="s">
        <v>463</v>
      </c>
      <c r="B30" s="74" t="s">
        <v>409</v>
      </c>
      <c r="C30" s="74" t="n">
        <v>300</v>
      </c>
      <c r="D30" s="74" t="n">
        <v>300</v>
      </c>
      <c r="E30" s="74" t="n">
        <v>20</v>
      </c>
      <c r="F30" s="74" t="n">
        <v>28</v>
      </c>
      <c r="G30" s="74" t="n">
        <v>0</v>
      </c>
      <c r="H30" s="74" t="n">
        <f aca="false">2*D30*F30+(C30-2*F30)*E30</f>
        <v>21680</v>
      </c>
      <c r="I30" s="74" t="n">
        <f aca="false">H30*DB_Settings!$G$5</f>
        <v>170.188</v>
      </c>
      <c r="J30" s="74" t="n">
        <f aca="false">(D30*C30^3-(D30-E30)*(C30-2*F30)^3)/12</f>
        <v>336041706.666667</v>
      </c>
      <c r="K30" s="74" t="n">
        <f aca="false">J30/(C30/2)</f>
        <v>2240278.04444444</v>
      </c>
      <c r="L30" s="74" t="n">
        <f aca="false">E30*(C30-2*F30)</f>
        <v>4880</v>
      </c>
      <c r="M30" s="77" t="s">
        <v>435</v>
      </c>
      <c r="N30" s="77"/>
      <c r="O30" s="1" t="n">
        <f aca="false">(2*F30*D30^3+(C30-2*F30)*E30^3)/12</f>
        <v>126162666.666667</v>
      </c>
      <c r="P30" s="1" t="n">
        <f aca="false">IFERROR(SQRT(J30/H30),"")</f>
        <v>124.499312129775</v>
      </c>
      <c r="Q30" s="1" t="n">
        <f aca="false">IFERROR(SQRT(O30/H30),"")</f>
        <v>76.2844098955477</v>
      </c>
    </row>
    <row r="31" customFormat="false" ht="32.25" hidden="false" customHeight="true" outlineLevel="0" collapsed="false">
      <c r="A31" s="74" t="s">
        <v>464</v>
      </c>
      <c r="B31" s="74" t="s">
        <v>409</v>
      </c>
      <c r="C31" s="74" t="n">
        <v>350</v>
      </c>
      <c r="D31" s="74" t="n">
        <v>175</v>
      </c>
      <c r="E31" s="74" t="n">
        <v>6</v>
      </c>
      <c r="F31" s="74" t="n">
        <v>9</v>
      </c>
      <c r="G31" s="74" t="n">
        <v>0</v>
      </c>
      <c r="H31" s="74" t="n">
        <f aca="false">2*D31*F31+(C31-2*F31)*E31</f>
        <v>5142</v>
      </c>
      <c r="I31" s="74" t="n">
        <f aca="false">H31*DB_Settings!$G$5</f>
        <v>40.3647</v>
      </c>
      <c r="J31" s="74" t="n">
        <f aca="false">(D31*C31^3-(D31-E31)*(C31-2*F31)^3)/12</f>
        <v>109889734</v>
      </c>
      <c r="K31" s="74" t="n">
        <f aca="false">J31/(C31/2)</f>
        <v>627941.337142857</v>
      </c>
      <c r="L31" s="74" t="n">
        <f aca="false">E31*(C31-2*F31)</f>
        <v>1992</v>
      </c>
      <c r="M31" s="77" t="s">
        <v>435</v>
      </c>
      <c r="N31" s="77"/>
      <c r="O31" s="1" t="n">
        <f aca="false">(2*F31*D31^3+(C31-2*F31)*E31^3)/12</f>
        <v>8045038.5</v>
      </c>
      <c r="P31" s="1" t="n">
        <f aca="false">IFERROR(SQRT(J31/H31),"")</f>
        <v>146.188269408994</v>
      </c>
      <c r="Q31" s="1" t="n">
        <f aca="false">IFERROR(SQRT(O31/H31),"")</f>
        <v>39.5546938297761</v>
      </c>
    </row>
    <row r="32" customFormat="false" ht="32.25" hidden="false" customHeight="true" outlineLevel="0" collapsed="false">
      <c r="A32" s="74" t="s">
        <v>465</v>
      </c>
      <c r="B32" s="74" t="s">
        <v>409</v>
      </c>
      <c r="C32" s="74" t="n">
        <v>350</v>
      </c>
      <c r="D32" s="74" t="n">
        <v>175</v>
      </c>
      <c r="E32" s="74" t="n">
        <v>7</v>
      </c>
      <c r="F32" s="74" t="n">
        <v>11</v>
      </c>
      <c r="G32" s="74" t="n">
        <v>0</v>
      </c>
      <c r="H32" s="74" t="n">
        <f aca="false">2*D32*F32+(C32-2*F32)*E32</f>
        <v>6146</v>
      </c>
      <c r="I32" s="74" t="n">
        <f aca="false">H32*DB_Settings!$G$5</f>
        <v>48.2461</v>
      </c>
      <c r="J32" s="74" t="n">
        <f aca="false">(D32*C32^3-(D32-E32)*(C32-2*F32)^3)/12</f>
        <v>131234688.666667</v>
      </c>
      <c r="K32" s="74" t="n">
        <f aca="false">J32/(C32/2)</f>
        <v>749912.506666667</v>
      </c>
      <c r="L32" s="74" t="n">
        <f aca="false">E32*(C32-2*F32)</f>
        <v>2296</v>
      </c>
      <c r="M32" s="77" t="s">
        <v>435</v>
      </c>
      <c r="N32" s="77"/>
      <c r="O32" s="1" t="n">
        <f aca="false">(2*F32*D32^3+(C32-2*F32)*E32^3)/12</f>
        <v>9834896.16666667</v>
      </c>
      <c r="P32" s="1" t="n">
        <f aca="false">IFERROR(SQRT(J32/H32),"")</f>
        <v>146.126184536302</v>
      </c>
      <c r="Q32" s="1" t="n">
        <f aca="false">IFERROR(SQRT(O32/H32),"")</f>
        <v>40.0026361128326</v>
      </c>
    </row>
    <row r="33" customFormat="false" ht="32.25" hidden="false" customHeight="true" outlineLevel="0" collapsed="false">
      <c r="A33" s="74" t="s">
        <v>466</v>
      </c>
      <c r="B33" s="74" t="s">
        <v>409</v>
      </c>
      <c r="C33" s="74" t="n">
        <v>350</v>
      </c>
      <c r="D33" s="74" t="n">
        <v>250</v>
      </c>
      <c r="E33" s="74" t="n">
        <v>8</v>
      </c>
      <c r="F33" s="74" t="n">
        <v>12</v>
      </c>
      <c r="G33" s="74" t="n">
        <v>0</v>
      </c>
      <c r="H33" s="74" t="n">
        <f aca="false">2*D33*F33+(C33-2*F33)*E33</f>
        <v>8608</v>
      </c>
      <c r="I33" s="74" t="n">
        <f aca="false">H33*DB_Settings!$G$5</f>
        <v>67.5728</v>
      </c>
      <c r="J33" s="74" t="n">
        <f aca="false">(D33*C33^3-(D33-E33)*(C33-2*F33)^3)/12</f>
        <v>194535317.333333</v>
      </c>
      <c r="K33" s="74" t="n">
        <f aca="false">J33/(C33/2)</f>
        <v>1111630.3847619</v>
      </c>
      <c r="L33" s="74" t="n">
        <f aca="false">E33*(C33-2*F33)</f>
        <v>2608</v>
      </c>
      <c r="M33" s="77" t="s">
        <v>435</v>
      </c>
      <c r="N33" s="77"/>
      <c r="O33" s="1" t="n">
        <f aca="false">(2*F33*D33^3+(C33-2*F33)*E33^3)/12</f>
        <v>31263909.3333333</v>
      </c>
      <c r="P33" s="1" t="n">
        <f aca="false">IFERROR(SQRT(J33/H33),"")</f>
        <v>150.330845381479</v>
      </c>
      <c r="Q33" s="1" t="n">
        <f aca="false">IFERROR(SQRT(O33/H33),"")</f>
        <v>60.2657425689369</v>
      </c>
    </row>
    <row r="34" customFormat="false" ht="32.25" hidden="false" customHeight="true" outlineLevel="0" collapsed="false">
      <c r="A34" s="74" t="s">
        <v>467</v>
      </c>
      <c r="B34" s="74" t="s">
        <v>409</v>
      </c>
      <c r="C34" s="74" t="n">
        <v>350</v>
      </c>
      <c r="D34" s="74" t="n">
        <v>250</v>
      </c>
      <c r="E34" s="74" t="n">
        <v>9</v>
      </c>
      <c r="F34" s="74" t="n">
        <v>14</v>
      </c>
      <c r="G34" s="74" t="n">
        <v>0</v>
      </c>
      <c r="H34" s="74" t="n">
        <f aca="false">2*D34*F34+(C34-2*F34)*E34</f>
        <v>9898</v>
      </c>
      <c r="I34" s="74" t="n">
        <f aca="false">H34*DB_Settings!$G$5</f>
        <v>77.6993</v>
      </c>
      <c r="J34" s="74" t="n">
        <f aca="false">(D34*C34^3-(D34-E34)*(C34-2*F34)^3)/12</f>
        <v>222722019.333333</v>
      </c>
      <c r="K34" s="74" t="n">
        <f aca="false">J34/(C34/2)</f>
        <v>1272697.25333333</v>
      </c>
      <c r="L34" s="74" t="n">
        <f aca="false">E34*(C34-2*F34)</f>
        <v>2898</v>
      </c>
      <c r="M34" s="77" t="s">
        <v>435</v>
      </c>
      <c r="N34" s="77"/>
      <c r="O34" s="1" t="n">
        <f aca="false">(2*F34*D34^3+(C34-2*F34)*E34^3)/12</f>
        <v>36477894.8333333</v>
      </c>
      <c r="P34" s="1" t="n">
        <f aca="false">IFERROR(SQRT(J34/H34),"")</f>
        <v>150.005731463658</v>
      </c>
      <c r="Q34" s="1" t="n">
        <f aca="false">IFERROR(SQRT(O34/H34),"")</f>
        <v>60.70733368413</v>
      </c>
    </row>
    <row r="35" customFormat="false" ht="32.25" hidden="false" customHeight="true" outlineLevel="0" collapsed="false">
      <c r="A35" s="74" t="s">
        <v>468</v>
      </c>
      <c r="B35" s="74" t="s">
        <v>409</v>
      </c>
      <c r="C35" s="74" t="n">
        <v>350</v>
      </c>
      <c r="D35" s="74" t="n">
        <v>250</v>
      </c>
      <c r="E35" s="74" t="n">
        <v>11</v>
      </c>
      <c r="F35" s="74" t="n">
        <v>19</v>
      </c>
      <c r="G35" s="74" t="n">
        <v>0</v>
      </c>
      <c r="H35" s="74" t="n">
        <f aca="false">2*D35*F35+(C35-2*F35)*E35</f>
        <v>12932</v>
      </c>
      <c r="I35" s="74" t="n">
        <f aca="false">H35*DB_Settings!$G$5</f>
        <v>101.5162</v>
      </c>
      <c r="J35" s="74" t="n">
        <f aca="false">(D35*C35^3-(D35-E35)*(C35-2*F35)^3)/12</f>
        <v>288333550.666667</v>
      </c>
      <c r="K35" s="74" t="n">
        <f aca="false">J35/(C35/2)</f>
        <v>1647620.28952381</v>
      </c>
      <c r="L35" s="74" t="n">
        <f aca="false">E35*(C35-2*F35)</f>
        <v>3432</v>
      </c>
      <c r="M35" s="77" t="s">
        <v>435</v>
      </c>
      <c r="N35" s="77"/>
      <c r="O35" s="1" t="n">
        <f aca="false">(2*F35*D35^3+(C35-2*F35)*E35^3)/12</f>
        <v>49513772.6666667</v>
      </c>
      <c r="P35" s="1" t="n">
        <f aca="false">IFERROR(SQRT(J35/H35),"")</f>
        <v>149.318886304434</v>
      </c>
      <c r="Q35" s="1" t="n">
        <f aca="false">IFERROR(SQRT(O35/H35),"")</f>
        <v>61.8771298949915</v>
      </c>
    </row>
    <row r="36" customFormat="false" ht="32.25" hidden="false" customHeight="true" outlineLevel="0" collapsed="false">
      <c r="A36" s="74" t="s">
        <v>469</v>
      </c>
      <c r="B36" s="74" t="s">
        <v>409</v>
      </c>
      <c r="C36" s="74" t="n">
        <v>350</v>
      </c>
      <c r="D36" s="74" t="n">
        <v>250</v>
      </c>
      <c r="E36" s="74" t="n">
        <v>15</v>
      </c>
      <c r="F36" s="74" t="n">
        <v>22</v>
      </c>
      <c r="G36" s="74" t="n">
        <v>0</v>
      </c>
      <c r="H36" s="74" t="n">
        <f aca="false">2*D36*F36+(C36-2*F36)*E36</f>
        <v>15590</v>
      </c>
      <c r="I36" s="74" t="n">
        <f aca="false">H36*DB_Settings!$G$5</f>
        <v>122.3815</v>
      </c>
      <c r="J36" s="74" t="n">
        <f aca="false">(D36*C36^3-(D36-E36)*(C36-2*F36)^3)/12</f>
        <v>332115436.666667</v>
      </c>
      <c r="K36" s="74" t="n">
        <f aca="false">J36/(C36/2)</f>
        <v>1897802.4952381</v>
      </c>
      <c r="L36" s="74" t="n">
        <f aca="false">E36*(C36-2*F36)</f>
        <v>4590</v>
      </c>
      <c r="M36" s="77" t="s">
        <v>435</v>
      </c>
      <c r="N36" s="77"/>
      <c r="O36" s="1" t="n">
        <f aca="false">(2*F36*D36^3+(C36-2*F36)*E36^3)/12</f>
        <v>57377729.1666667</v>
      </c>
      <c r="P36" s="1" t="n">
        <f aca="false">IFERROR(SQRT(J36/H36),"")</f>
        <v>145.955838890181</v>
      </c>
      <c r="Q36" s="1" t="n">
        <f aca="false">IFERROR(SQRT(O36/H36),"")</f>
        <v>60.6664553504603</v>
      </c>
    </row>
    <row r="37" customFormat="false" ht="32.25" hidden="false" customHeight="true" outlineLevel="0" collapsed="false">
      <c r="A37" s="74" t="s">
        <v>470</v>
      </c>
      <c r="B37" s="74" t="s">
        <v>409</v>
      </c>
      <c r="C37" s="74" t="n">
        <v>350</v>
      </c>
      <c r="D37" s="74" t="n">
        <v>250</v>
      </c>
      <c r="E37" s="74" t="n">
        <v>17</v>
      </c>
      <c r="F37" s="74" t="n">
        <v>26</v>
      </c>
      <c r="G37" s="74" t="n">
        <v>0</v>
      </c>
      <c r="H37" s="74" t="n">
        <f aca="false">2*D37*F37+(C37-2*F37)*E37</f>
        <v>18066</v>
      </c>
      <c r="I37" s="74" t="n">
        <f aca="false">H37*DB_Settings!$G$5</f>
        <v>141.8181</v>
      </c>
      <c r="J37" s="74" t="n">
        <f aca="false">(D37*C37^3-(D37-E37)*(C37-2*F37)^3)/12</f>
        <v>379394422</v>
      </c>
      <c r="K37" s="74" t="n">
        <f aca="false">J37/(C37/2)</f>
        <v>2167968.12571429</v>
      </c>
      <c r="L37" s="74" t="n">
        <f aca="false">E37*(C37-2*F37)</f>
        <v>5066</v>
      </c>
      <c r="M37" s="77" t="s">
        <v>435</v>
      </c>
      <c r="N37" s="77"/>
      <c r="O37" s="1" t="n">
        <f aca="false">(2*F37*D37^3+(C37-2*F37)*E37^3)/12</f>
        <v>67830339.5</v>
      </c>
      <c r="P37" s="1" t="n">
        <f aca="false">IFERROR(SQRT(J37/H37),"")</f>
        <v>144.915375925275</v>
      </c>
      <c r="Q37" s="1" t="n">
        <f aca="false">IFERROR(SQRT(O37/H37),"")</f>
        <v>61.2746716138029</v>
      </c>
    </row>
    <row r="38" customFormat="false" ht="32.25" hidden="false" customHeight="true" outlineLevel="0" collapsed="false">
      <c r="A38" s="74" t="s">
        <v>471</v>
      </c>
      <c r="B38" s="74" t="s">
        <v>409</v>
      </c>
      <c r="C38" s="74" t="n">
        <v>350</v>
      </c>
      <c r="D38" s="74" t="n">
        <v>350</v>
      </c>
      <c r="E38" s="74" t="n">
        <v>13</v>
      </c>
      <c r="F38" s="74" t="n">
        <v>13</v>
      </c>
      <c r="G38" s="74" t="n">
        <v>0</v>
      </c>
      <c r="H38" s="74" t="n">
        <f aca="false">2*D38*F38+(C38-2*F38)*E38</f>
        <v>13312</v>
      </c>
      <c r="I38" s="74" t="n">
        <f aca="false">H38*DB_Settings!$G$5</f>
        <v>104.4992</v>
      </c>
      <c r="J38" s="74" t="n">
        <f aca="false">(D38*C38^3-(D38-E38)*(C38-2*F38)^3)/12</f>
        <v>295344209.333333</v>
      </c>
      <c r="K38" s="74" t="n">
        <f aca="false">J38/(C38/2)</f>
        <v>1687681.19619048</v>
      </c>
      <c r="L38" s="74" t="n">
        <f aca="false">E38*(C38-2*F38)</f>
        <v>4212</v>
      </c>
      <c r="M38" s="77" t="s">
        <v>435</v>
      </c>
      <c r="N38" s="77"/>
      <c r="O38" s="1" t="n">
        <f aca="false">(2*F38*D38^3+(C38-2*F38)*E38^3)/12</f>
        <v>92955152.3333333</v>
      </c>
      <c r="P38" s="1" t="n">
        <f aca="false">IFERROR(SQRT(J38/H38),"")</f>
        <v>148.950709303727</v>
      </c>
      <c r="Q38" s="1" t="n">
        <f aca="false">IFERROR(SQRT(O38/H38),"")</f>
        <v>83.5632031415194</v>
      </c>
    </row>
    <row r="39" customFormat="false" ht="32.25" hidden="false" customHeight="true" outlineLevel="0" collapsed="false">
      <c r="A39" s="74" t="s">
        <v>472</v>
      </c>
      <c r="B39" s="74" t="s">
        <v>409</v>
      </c>
      <c r="C39" s="74" t="n">
        <v>350</v>
      </c>
      <c r="D39" s="74" t="n">
        <v>350</v>
      </c>
      <c r="E39" s="74" t="n">
        <v>10</v>
      </c>
      <c r="F39" s="74" t="n">
        <v>16</v>
      </c>
      <c r="G39" s="74" t="n">
        <v>0</v>
      </c>
      <c r="H39" s="74" t="n">
        <f aca="false">2*D39*F39+(C39-2*F39)*E39</f>
        <v>14380</v>
      </c>
      <c r="I39" s="74" t="n">
        <f aca="false">H39*DB_Settings!$G$5</f>
        <v>112.883</v>
      </c>
      <c r="J39" s="74" t="n">
        <f aca="false">(D39*C39^3-(D39-E39)*(C39-2*F39)^3)/12</f>
        <v>339393593.333333</v>
      </c>
      <c r="K39" s="74" t="n">
        <f aca="false">J39/(C39/2)</f>
        <v>1939391.96190476</v>
      </c>
      <c r="L39" s="74" t="n">
        <f aca="false">E39*(C39-2*F39)</f>
        <v>3180</v>
      </c>
      <c r="M39" s="77" t="s">
        <v>435</v>
      </c>
      <c r="N39" s="77"/>
      <c r="O39" s="1" t="n">
        <f aca="false">(2*F39*D39^3+(C39-2*F39)*E39^3)/12</f>
        <v>114359833.333333</v>
      </c>
      <c r="P39" s="1" t="n">
        <f aca="false">IFERROR(SQRT(J39/H39),"")</f>
        <v>153.628707560602</v>
      </c>
      <c r="Q39" s="1" t="n">
        <f aca="false">IFERROR(SQRT(O39/H39),"")</f>
        <v>89.1779149227405</v>
      </c>
    </row>
    <row r="40" customFormat="false" ht="32.25" hidden="false" customHeight="true" outlineLevel="0" collapsed="false">
      <c r="A40" s="74" t="s">
        <v>473</v>
      </c>
      <c r="B40" s="74" t="s">
        <v>409</v>
      </c>
      <c r="C40" s="74" t="n">
        <v>350</v>
      </c>
      <c r="D40" s="74" t="n">
        <v>350</v>
      </c>
      <c r="E40" s="74" t="n">
        <v>16</v>
      </c>
      <c r="F40" s="74" t="n">
        <v>16</v>
      </c>
      <c r="G40" s="74" t="n">
        <v>0</v>
      </c>
      <c r="H40" s="74" t="n">
        <f aca="false">2*D40*F40+(C40-2*F40)*E40</f>
        <v>16288</v>
      </c>
      <c r="I40" s="74" t="n">
        <f aca="false">H40*DB_Settings!$G$5</f>
        <v>127.8608</v>
      </c>
      <c r="J40" s="74" t="n">
        <f aca="false">(D40*C40^3-(D40-E40)*(C40-2*F40)^3)/12</f>
        <v>355472309.333333</v>
      </c>
      <c r="K40" s="74" t="n">
        <f aca="false">J40/(C40/2)</f>
        <v>2031270.33904762</v>
      </c>
      <c r="L40" s="74" t="n">
        <f aca="false">E40*(C40-2*F40)</f>
        <v>5088</v>
      </c>
      <c r="M40" s="77" t="s">
        <v>435</v>
      </c>
      <c r="N40" s="77"/>
      <c r="O40" s="1" t="n">
        <f aca="false">(2*F40*D40^3+(C40-2*F40)*E40^3)/12</f>
        <v>114441877.333333</v>
      </c>
      <c r="P40" s="1" t="n">
        <f aca="false">IFERROR(SQRT(J40/H40),"")</f>
        <v>147.730105330485</v>
      </c>
      <c r="Q40" s="1" t="n">
        <f aca="false">IFERROR(SQRT(O40/H40),"")</f>
        <v>83.8221133881855</v>
      </c>
    </row>
    <row r="41" customFormat="false" ht="32.25" hidden="false" customHeight="true" outlineLevel="0" collapsed="false">
      <c r="A41" s="74" t="s">
        <v>474</v>
      </c>
      <c r="B41" s="74" t="s">
        <v>409</v>
      </c>
      <c r="C41" s="74" t="n">
        <v>350</v>
      </c>
      <c r="D41" s="74" t="n">
        <v>350</v>
      </c>
      <c r="E41" s="74" t="n">
        <v>12</v>
      </c>
      <c r="F41" s="74" t="n">
        <v>19</v>
      </c>
      <c r="G41" s="74" t="n">
        <v>0</v>
      </c>
      <c r="H41" s="74" t="n">
        <f aca="false">2*D41*F41+(C41-2*F41)*E41</f>
        <v>17044</v>
      </c>
      <c r="I41" s="74" t="n">
        <f aca="false">H41*DB_Settings!$G$5</f>
        <v>133.7954</v>
      </c>
      <c r="J41" s="74" t="n">
        <f aca="false">(D41*C41^3-(D41-E41)*(C41-2*F41)^3)/12</f>
        <v>395061761.333333</v>
      </c>
      <c r="K41" s="74" t="n">
        <f aca="false">J41/(C41/2)</f>
        <v>2257495.77904762</v>
      </c>
      <c r="L41" s="74" t="n">
        <f aca="false">E41*(C41-2*F41)</f>
        <v>3744</v>
      </c>
      <c r="M41" s="77" t="s">
        <v>435</v>
      </c>
      <c r="N41" s="77"/>
      <c r="O41" s="1" t="n">
        <f aca="false">(2*F41*D41^3+(C41-2*F41)*E41^3)/12</f>
        <v>135815761.333333</v>
      </c>
      <c r="P41" s="1" t="n">
        <f aca="false">IFERROR(SQRT(J41/H41),"")</f>
        <v>152.246295851957</v>
      </c>
      <c r="Q41" s="1" t="n">
        <f aca="false">IFERROR(SQRT(O41/H41),"")</f>
        <v>89.2666678000801</v>
      </c>
    </row>
    <row r="42" customFormat="false" ht="32.25" hidden="false" customHeight="true" outlineLevel="0" collapsed="false">
      <c r="A42" s="74" t="s">
        <v>475</v>
      </c>
      <c r="B42" s="74" t="s">
        <v>409</v>
      </c>
      <c r="C42" s="74" t="n">
        <v>350</v>
      </c>
      <c r="D42" s="74" t="n">
        <v>350</v>
      </c>
      <c r="E42" s="74" t="n">
        <v>19</v>
      </c>
      <c r="F42" s="74" t="n">
        <v>19</v>
      </c>
      <c r="G42" s="74" t="n">
        <v>0</v>
      </c>
      <c r="H42" s="74" t="n">
        <f aca="false">2*D42*F42+(C42-2*F42)*E42</f>
        <v>19228</v>
      </c>
      <c r="I42" s="74" t="n">
        <f aca="false">H42*DB_Settings!$G$5</f>
        <v>150.9398</v>
      </c>
      <c r="J42" s="74" t="n">
        <f aca="false">(D42*C42^3-(D42-E42)*(C42-2*F42)^3)/12</f>
        <v>412778369.333333</v>
      </c>
      <c r="K42" s="74" t="n">
        <f aca="false">J42/(C42/2)</f>
        <v>2358733.53904762</v>
      </c>
      <c r="L42" s="74" t="n">
        <f aca="false">E42*(C42-2*F42)</f>
        <v>5928</v>
      </c>
      <c r="M42" s="77" t="s">
        <v>435</v>
      </c>
      <c r="N42" s="77"/>
      <c r="O42" s="1" t="n">
        <f aca="false">(2*F42*D42^3+(C42-2*F42)*E42^3)/12</f>
        <v>135949167.333333</v>
      </c>
      <c r="P42" s="1" t="n">
        <f aca="false">IFERROR(SQRT(J42/H42),"")</f>
        <v>146.518144046785</v>
      </c>
      <c r="Q42" s="1" t="n">
        <f aca="false">IFERROR(SQRT(O42/H42),"")</f>
        <v>84.0855209611597</v>
      </c>
    </row>
    <row r="43" customFormat="false" ht="32.25" hidden="false" customHeight="true" outlineLevel="0" collapsed="false">
      <c r="A43" s="74" t="s">
        <v>476</v>
      </c>
      <c r="B43" s="74" t="s">
        <v>409</v>
      </c>
      <c r="C43" s="74" t="n">
        <v>350</v>
      </c>
      <c r="D43" s="74" t="n">
        <v>350</v>
      </c>
      <c r="E43" s="74" t="n">
        <v>16</v>
      </c>
      <c r="F43" s="74" t="n">
        <v>24</v>
      </c>
      <c r="G43" s="74" t="n">
        <v>0</v>
      </c>
      <c r="H43" s="74" t="n">
        <f aca="false">2*D43*F43+(C43-2*F43)*E43</f>
        <v>21632</v>
      </c>
      <c r="I43" s="74" t="n">
        <f aca="false">H43*DB_Settings!$G$5</f>
        <v>169.8112</v>
      </c>
      <c r="J43" s="74" t="n">
        <f aca="false">(D43*C43^3-(D43-E43)*(C43-2*F43)^3)/12</f>
        <v>483890410.666667</v>
      </c>
      <c r="K43" s="74" t="n">
        <f aca="false">J43/(C43/2)</f>
        <v>2765088.06095238</v>
      </c>
      <c r="L43" s="74" t="n">
        <f aca="false">E43*(C43-2*F43)</f>
        <v>4832</v>
      </c>
      <c r="M43" s="77" t="s">
        <v>435</v>
      </c>
      <c r="N43" s="77"/>
      <c r="O43" s="1" t="n">
        <f aca="false">(2*F43*D43^3+(C43-2*F43)*E43^3)/12</f>
        <v>171603082.666667</v>
      </c>
      <c r="P43" s="1" t="n">
        <f aca="false">IFERROR(SQRT(J43/H43),"")</f>
        <v>149.563345376061</v>
      </c>
      <c r="Q43" s="1" t="n">
        <f aca="false">IFERROR(SQRT(O43/H43),"")</f>
        <v>89.0664628949824</v>
      </c>
    </row>
    <row r="44" customFormat="false" ht="32.25" hidden="false" customHeight="true" outlineLevel="0" collapsed="false">
      <c r="A44" s="74" t="s">
        <v>477</v>
      </c>
      <c r="B44" s="74" t="s">
        <v>409</v>
      </c>
      <c r="C44" s="74" t="n">
        <v>350</v>
      </c>
      <c r="D44" s="74" t="n">
        <v>350</v>
      </c>
      <c r="E44" s="74" t="n">
        <v>18</v>
      </c>
      <c r="F44" s="74" t="n">
        <v>28</v>
      </c>
      <c r="G44" s="74" t="n">
        <v>0</v>
      </c>
      <c r="H44" s="74" t="n">
        <f aca="false">2*D44*F44+(C44-2*F44)*E44</f>
        <v>24892</v>
      </c>
      <c r="I44" s="74" t="n">
        <f aca="false">H44*DB_Settings!$G$5</f>
        <v>195.4022</v>
      </c>
      <c r="J44" s="74" t="n">
        <f aca="false">(D44*C44^3-(D44-E44)*(C44-2*F44)^3)/12</f>
        <v>547450409.333333</v>
      </c>
      <c r="K44" s="74" t="n">
        <f aca="false">J44/(C44/2)</f>
        <v>3128288.05333333</v>
      </c>
      <c r="L44" s="74" t="n">
        <f aca="false">E44*(C44-2*F44)</f>
        <v>5292</v>
      </c>
      <c r="M44" s="77" t="s">
        <v>435</v>
      </c>
      <c r="N44" s="77"/>
      <c r="O44" s="1" t="n">
        <f aca="false">(2*F44*D44^3+(C44-2*F44)*E44^3)/12</f>
        <v>200226217.333333</v>
      </c>
      <c r="P44" s="1" t="n">
        <f aca="false">IFERROR(SQRT(J44/H44),"")</f>
        <v>148.30045936112</v>
      </c>
      <c r="Q44" s="1" t="n">
        <f aca="false">IFERROR(SQRT(O44/H44),"")</f>
        <v>89.6872226142747</v>
      </c>
    </row>
    <row r="45" customFormat="false" ht="32.25" hidden="false" customHeight="true" outlineLevel="0" collapsed="false">
      <c r="A45" s="74" t="s">
        <v>478</v>
      </c>
      <c r="B45" s="74" t="s">
        <v>409</v>
      </c>
      <c r="C45" s="74" t="n">
        <v>350</v>
      </c>
      <c r="D45" s="74" t="n">
        <v>350</v>
      </c>
      <c r="E45" s="74" t="n">
        <v>20</v>
      </c>
      <c r="F45" s="74" t="n">
        <v>33</v>
      </c>
      <c r="G45" s="74" t="n">
        <v>0</v>
      </c>
      <c r="H45" s="74" t="n">
        <f aca="false">2*D45*F45+(C45-2*F45)*E45</f>
        <v>28780</v>
      </c>
      <c r="I45" s="74" t="n">
        <f aca="false">H45*DB_Settings!$G$5</f>
        <v>225.923</v>
      </c>
      <c r="J45" s="74" t="n">
        <f aca="false">(D45*C45^3-(D45-E45)*(C45-2*F45)^3)/12</f>
        <v>620597473.333333</v>
      </c>
      <c r="K45" s="74" t="n">
        <f aca="false">J45/(C45/2)</f>
        <v>3546271.27619048</v>
      </c>
      <c r="L45" s="74" t="n">
        <f aca="false">E45*(C45-2*F45)</f>
        <v>5680</v>
      </c>
      <c r="M45" s="77" t="s">
        <v>435</v>
      </c>
      <c r="N45" s="77"/>
      <c r="O45" s="1" t="n">
        <f aca="false">(2*F45*D45^3+(C45-2*F45)*E45^3)/12</f>
        <v>236001833.333333</v>
      </c>
      <c r="P45" s="1" t="n">
        <f aca="false">IFERROR(SQRT(J45/H45),"")</f>
        <v>146.845149838325</v>
      </c>
      <c r="Q45" s="1" t="n">
        <f aca="false">IFERROR(SQRT(O45/H45),"")</f>
        <v>90.5549705264774</v>
      </c>
    </row>
    <row r="46" customFormat="false" ht="32.25" hidden="false" customHeight="true" outlineLevel="0" collapsed="false">
      <c r="A46" s="74" t="s">
        <v>479</v>
      </c>
      <c r="B46" s="74" t="s">
        <v>409</v>
      </c>
      <c r="C46" s="74" t="n">
        <v>400</v>
      </c>
      <c r="D46" s="74" t="n">
        <v>200</v>
      </c>
      <c r="E46" s="74" t="n">
        <v>7</v>
      </c>
      <c r="F46" s="74" t="n">
        <v>11</v>
      </c>
      <c r="G46" s="74" t="n">
        <v>0</v>
      </c>
      <c r="H46" s="74" t="n">
        <f aca="false">2*D46*F46+(C46-2*F46)*E46</f>
        <v>7046</v>
      </c>
      <c r="I46" s="74" t="n">
        <f aca="false">H46*DB_Settings!$G$5</f>
        <v>55.3111</v>
      </c>
      <c r="J46" s="74" t="n">
        <f aca="false">(D46*C46^3-(D46-E46)*(C46-2*F46)^3)/12</f>
        <v>198003388.666667</v>
      </c>
      <c r="K46" s="74" t="n">
        <f aca="false">J46/(C46/2)</f>
        <v>990016.943333333</v>
      </c>
      <c r="L46" s="74" t="n">
        <f aca="false">E46*(C46-2*F46)</f>
        <v>2646</v>
      </c>
      <c r="M46" s="77" t="s">
        <v>435</v>
      </c>
      <c r="N46" s="77"/>
      <c r="O46" s="1" t="n">
        <f aca="false">(2*F46*D46^3+(C46-2*F46)*E46^3)/12</f>
        <v>14677471.1666667</v>
      </c>
      <c r="P46" s="1" t="n">
        <f aca="false">IFERROR(SQRT(J46/H46),"")</f>
        <v>167.635113195538</v>
      </c>
      <c r="Q46" s="1" t="n">
        <f aca="false">IFERROR(SQRT(O46/H46),"")</f>
        <v>45.6409103803822</v>
      </c>
    </row>
    <row r="47" customFormat="false" ht="32.25" hidden="false" customHeight="true" outlineLevel="0" collapsed="false">
      <c r="A47" s="74" t="s">
        <v>480</v>
      </c>
      <c r="B47" s="74" t="s">
        <v>409</v>
      </c>
      <c r="C47" s="74" t="n">
        <v>400</v>
      </c>
      <c r="D47" s="74" t="n">
        <v>200</v>
      </c>
      <c r="E47" s="74" t="n">
        <v>8</v>
      </c>
      <c r="F47" s="74" t="n">
        <v>13</v>
      </c>
      <c r="G47" s="74" t="n">
        <v>0</v>
      </c>
      <c r="H47" s="74" t="n">
        <f aca="false">2*D47*F47+(C47-2*F47)*E47</f>
        <v>8192</v>
      </c>
      <c r="I47" s="74" t="n">
        <f aca="false">H47*DB_Settings!$G$5</f>
        <v>64.3072</v>
      </c>
      <c r="J47" s="74" t="n">
        <f aca="false">(D47*C47^3-(D47-E47)*(C47-2*F47)^3)/12</f>
        <v>229648682.666667</v>
      </c>
      <c r="K47" s="74" t="n">
        <f aca="false">J47/(C47/2)</f>
        <v>1148243.41333333</v>
      </c>
      <c r="L47" s="74" t="n">
        <f aca="false">E47*(C47-2*F47)</f>
        <v>2992</v>
      </c>
      <c r="M47" s="77" t="s">
        <v>435</v>
      </c>
      <c r="N47" s="77"/>
      <c r="O47" s="1" t="n">
        <f aca="false">(2*F47*D47^3+(C47-2*F47)*E47^3)/12</f>
        <v>17349290.6666667</v>
      </c>
      <c r="P47" s="1" t="n">
        <f aca="false">IFERROR(SQRT(J47/H47),"")</f>
        <v>167.431438082378</v>
      </c>
      <c r="Q47" s="1" t="n">
        <f aca="false">IFERROR(SQRT(O47/H47),"")</f>
        <v>46.0199232217236</v>
      </c>
    </row>
    <row r="48" customFormat="false" ht="32.25" hidden="false" customHeight="true" outlineLevel="0" collapsed="false">
      <c r="A48" s="74" t="s">
        <v>481</v>
      </c>
      <c r="B48" s="74" t="s">
        <v>409</v>
      </c>
      <c r="C48" s="74" t="n">
        <v>400</v>
      </c>
      <c r="D48" s="74" t="n">
        <v>300</v>
      </c>
      <c r="E48" s="74" t="n">
        <v>9</v>
      </c>
      <c r="F48" s="74" t="n">
        <v>14</v>
      </c>
      <c r="G48" s="74" t="n">
        <v>0</v>
      </c>
      <c r="H48" s="74" t="n">
        <f aca="false">2*D48*F48+(C48-2*F48)*E48</f>
        <v>11748</v>
      </c>
      <c r="I48" s="74" t="n">
        <f aca="false">H48*DB_Settings!$G$5</f>
        <v>92.2218</v>
      </c>
      <c r="J48" s="74" t="n">
        <f aca="false">(D48*C48^3-(D48-E48)*(C48-2*F48)^3)/12</f>
        <v>351637936</v>
      </c>
      <c r="K48" s="74" t="n">
        <f aca="false">J48/(C48/2)</f>
        <v>1758189.68</v>
      </c>
      <c r="L48" s="74" t="n">
        <f aca="false">E48*(C48-2*F48)</f>
        <v>3348</v>
      </c>
      <c r="M48" s="77" t="s">
        <v>435</v>
      </c>
      <c r="N48" s="77"/>
      <c r="O48" s="1" t="n">
        <f aca="false">(2*F48*D48^3+(C48-2*F48)*E48^3)/12</f>
        <v>63022599</v>
      </c>
      <c r="P48" s="1" t="n">
        <f aca="false">IFERROR(SQRT(J48/H48),"")</f>
        <v>173.007883095571</v>
      </c>
      <c r="Q48" s="1" t="n">
        <f aca="false">IFERROR(SQRT(O48/H48),"")</f>
        <v>73.2430103133047</v>
      </c>
    </row>
    <row r="49" customFormat="false" ht="32.25" hidden="false" customHeight="true" outlineLevel="0" collapsed="false">
      <c r="A49" s="74" t="s">
        <v>482</v>
      </c>
      <c r="B49" s="74" t="s">
        <v>409</v>
      </c>
      <c r="C49" s="74" t="n">
        <v>400</v>
      </c>
      <c r="D49" s="74" t="n">
        <v>300</v>
      </c>
      <c r="E49" s="74" t="n">
        <v>10</v>
      </c>
      <c r="F49" s="74" t="n">
        <v>16</v>
      </c>
      <c r="G49" s="74" t="n">
        <v>0</v>
      </c>
      <c r="H49" s="74" t="n">
        <f aca="false">2*D49*F49+(C49-2*F49)*E49</f>
        <v>13280</v>
      </c>
      <c r="I49" s="74" t="n">
        <f aca="false">H49*DB_Settings!$G$5</f>
        <v>104.248</v>
      </c>
      <c r="J49" s="74" t="n">
        <f aca="false">(D49*C49^3-(D49-E49)*(C49-2*F49)^3)/12</f>
        <v>395629226.666667</v>
      </c>
      <c r="K49" s="74" t="n">
        <f aca="false">J49/(C49/2)</f>
        <v>1978146.13333333</v>
      </c>
      <c r="L49" s="74" t="n">
        <f aca="false">E49*(C49-2*F49)</f>
        <v>3680</v>
      </c>
      <c r="M49" s="77" t="s">
        <v>435</v>
      </c>
      <c r="N49" s="77"/>
      <c r="O49" s="1" t="n">
        <f aca="false">(2*F49*D49^3+(C49-2*F49)*E49^3)/12</f>
        <v>72030666.6666667</v>
      </c>
      <c r="P49" s="1" t="n">
        <f aca="false">IFERROR(SQRT(J49/H49),"")</f>
        <v>172.601730668377</v>
      </c>
      <c r="Q49" s="1" t="n">
        <f aca="false">IFERROR(SQRT(O49/H49),"")</f>
        <v>73.6477832927492</v>
      </c>
    </row>
    <row r="50" customFormat="false" ht="32.25" hidden="false" customHeight="true" outlineLevel="0" collapsed="false">
      <c r="A50" s="74" t="s">
        <v>483</v>
      </c>
      <c r="B50" s="74" t="s">
        <v>409</v>
      </c>
      <c r="C50" s="74" t="n">
        <v>400</v>
      </c>
      <c r="D50" s="74" t="n">
        <v>300</v>
      </c>
      <c r="E50" s="74" t="n">
        <v>14</v>
      </c>
      <c r="F50" s="74" t="n">
        <v>21</v>
      </c>
      <c r="G50" s="74" t="n">
        <v>0</v>
      </c>
      <c r="H50" s="74" t="n">
        <f aca="false">2*D50*F50+(C50-2*F50)*E50</f>
        <v>17612</v>
      </c>
      <c r="I50" s="74" t="n">
        <f aca="false">H50*DB_Settings!$G$5</f>
        <v>138.2542</v>
      </c>
      <c r="J50" s="74" t="n">
        <f aca="false">(D50*C50^3-(D50-E50)*(C50-2*F50)^3)/12</f>
        <v>506462030.666667</v>
      </c>
      <c r="K50" s="74" t="n">
        <f aca="false">J50/(C50/2)</f>
        <v>2532310.15333333</v>
      </c>
      <c r="L50" s="74" t="n">
        <f aca="false">E50*(C50-2*F50)</f>
        <v>5012</v>
      </c>
      <c r="M50" s="77" t="s">
        <v>435</v>
      </c>
      <c r="N50" s="77"/>
      <c r="O50" s="1" t="n">
        <f aca="false">(2*F50*D50^3+(C50-2*F50)*E50^3)/12</f>
        <v>94581862.6666667</v>
      </c>
      <c r="P50" s="1" t="n">
        <f aca="false">IFERROR(SQRT(J50/H50),"")</f>
        <v>169.577843302292</v>
      </c>
      <c r="Q50" s="1" t="n">
        <f aca="false">IFERROR(SQRT(O50/H50),"")</f>
        <v>73.2823846236695</v>
      </c>
    </row>
    <row r="51" customFormat="false" ht="32.25" hidden="false" customHeight="true" outlineLevel="0" collapsed="false">
      <c r="A51" s="74" t="s">
        <v>484</v>
      </c>
      <c r="B51" s="74" t="s">
        <v>409</v>
      </c>
      <c r="C51" s="74" t="n">
        <v>400</v>
      </c>
      <c r="D51" s="74" t="n">
        <v>300</v>
      </c>
      <c r="E51" s="74" t="n">
        <v>18</v>
      </c>
      <c r="F51" s="74" t="n">
        <v>26</v>
      </c>
      <c r="G51" s="74" t="n">
        <v>0</v>
      </c>
      <c r="H51" s="74" t="n">
        <f aca="false">2*D51*F51+(C51-2*F51)*E51</f>
        <v>21864</v>
      </c>
      <c r="I51" s="74" t="n">
        <f aca="false">H51*DB_Settings!$G$5</f>
        <v>171.6324</v>
      </c>
      <c r="J51" s="74" t="n">
        <f aca="false">(D51*C51^3-(D51-E51)*(C51-2*F51)^3)/12</f>
        <v>609611488</v>
      </c>
      <c r="K51" s="74" t="n">
        <f aca="false">J51/(C51/2)</f>
        <v>3048057.44</v>
      </c>
      <c r="L51" s="74" t="n">
        <f aca="false">E51*(C51-2*F51)</f>
        <v>6264</v>
      </c>
      <c r="M51" s="77" t="s">
        <v>435</v>
      </c>
      <c r="N51" s="77"/>
      <c r="O51" s="1" t="n">
        <f aca="false">(2*F51*D51^3+(C51-2*F51)*E51^3)/12</f>
        <v>117169128</v>
      </c>
      <c r="P51" s="1" t="n">
        <f aca="false">IFERROR(SQRT(J51/H51),"")</f>
        <v>166.978963905997</v>
      </c>
      <c r="Q51" s="1" t="n">
        <f aca="false">IFERROR(SQRT(O51/H51),"")</f>
        <v>73.2051760779955</v>
      </c>
    </row>
    <row r="52" customFormat="false" ht="32.25" hidden="false" customHeight="true" outlineLevel="0" collapsed="false">
      <c r="A52" s="74" t="s">
        <v>485</v>
      </c>
      <c r="B52" s="74" t="s">
        <v>409</v>
      </c>
      <c r="C52" s="74" t="n">
        <v>400</v>
      </c>
      <c r="D52" s="74" t="n">
        <v>300</v>
      </c>
      <c r="E52" s="74" t="n">
        <v>20</v>
      </c>
      <c r="F52" s="74" t="n">
        <v>30</v>
      </c>
      <c r="G52" s="74" t="n">
        <v>0</v>
      </c>
      <c r="H52" s="74" t="n">
        <f aca="false">2*D52*F52+(C52-2*F52)*E52</f>
        <v>24800</v>
      </c>
      <c r="I52" s="74" t="n">
        <f aca="false">H52*DB_Settings!$G$5</f>
        <v>194.68</v>
      </c>
      <c r="J52" s="74" t="n">
        <f aca="false">(D52*C52^3-(D52-E52)*(C52-2*F52)^3)/12</f>
        <v>682906666.666667</v>
      </c>
      <c r="K52" s="74" t="n">
        <f aca="false">J52/(C52/2)</f>
        <v>3414533.33333333</v>
      </c>
      <c r="L52" s="74" t="n">
        <f aca="false">E52*(C52-2*F52)</f>
        <v>6800</v>
      </c>
      <c r="M52" s="77" t="s">
        <v>435</v>
      </c>
      <c r="N52" s="77"/>
      <c r="O52" s="1" t="n">
        <f aca="false">(2*F52*D52^3+(C52-2*F52)*E52^3)/12</f>
        <v>135226666.666667</v>
      </c>
      <c r="P52" s="1" t="n">
        <f aca="false">IFERROR(SQRT(J52/H52),"")</f>
        <v>165.941432860467</v>
      </c>
      <c r="Q52" s="1" t="n">
        <f aca="false">IFERROR(SQRT(O52/H52),"")</f>
        <v>73.84231965508</v>
      </c>
    </row>
    <row r="53" customFormat="false" ht="32.25" hidden="false" customHeight="true" outlineLevel="0" collapsed="false">
      <c r="A53" s="74" t="s">
        <v>486</v>
      </c>
      <c r="B53" s="74" t="s">
        <v>409</v>
      </c>
      <c r="C53" s="74" t="n">
        <v>400</v>
      </c>
      <c r="D53" s="74" t="n">
        <v>400</v>
      </c>
      <c r="E53" s="74" t="n">
        <v>15</v>
      </c>
      <c r="F53" s="74" t="n">
        <v>15</v>
      </c>
      <c r="G53" s="74" t="n">
        <v>0</v>
      </c>
      <c r="H53" s="74" t="n">
        <f aca="false">2*D53*F53+(C53-2*F53)*E53</f>
        <v>17550</v>
      </c>
      <c r="I53" s="74" t="n">
        <f aca="false">H53*DB_Settings!$G$5</f>
        <v>137.7675</v>
      </c>
      <c r="J53" s="74" t="n">
        <f aca="false">(D53*C53^3-(D53-E53)*(C53-2*F53)^3)/12</f>
        <v>508216250</v>
      </c>
      <c r="K53" s="74" t="n">
        <f aca="false">J53/(C53/2)</f>
        <v>2541081.25</v>
      </c>
      <c r="L53" s="74" t="n">
        <f aca="false">E53*(C53-2*F53)</f>
        <v>5550</v>
      </c>
      <c r="M53" s="77" t="s">
        <v>435</v>
      </c>
      <c r="N53" s="77"/>
      <c r="O53" s="1" t="n">
        <f aca="false">(2*F53*D53^3+(C53-2*F53)*E53^3)/12</f>
        <v>160104062.5</v>
      </c>
      <c r="P53" s="1" t="n">
        <f aca="false">IFERROR(SQRT(J53/H53),"")</f>
        <v>170.171063589527</v>
      </c>
      <c r="Q53" s="1" t="n">
        <f aca="false">IFERROR(SQRT(O53/H53),"")</f>
        <v>95.5130284515605</v>
      </c>
    </row>
    <row r="54" customFormat="false" ht="32.25" hidden="false" customHeight="true" outlineLevel="0" collapsed="false">
      <c r="A54" s="74" t="s">
        <v>487</v>
      </c>
      <c r="B54" s="74" t="s">
        <v>409</v>
      </c>
      <c r="C54" s="74" t="n">
        <v>400</v>
      </c>
      <c r="D54" s="74" t="n">
        <v>400</v>
      </c>
      <c r="E54" s="74" t="n">
        <v>11</v>
      </c>
      <c r="F54" s="74" t="n">
        <v>18</v>
      </c>
      <c r="G54" s="74" t="n">
        <v>0</v>
      </c>
      <c r="H54" s="74" t="n">
        <f aca="false">2*D54*F54+(C54-2*F54)*E54</f>
        <v>18404</v>
      </c>
      <c r="I54" s="74" t="n">
        <f aca="false">H54*DB_Settings!$G$5</f>
        <v>144.4714</v>
      </c>
      <c r="J54" s="74" t="n">
        <f aca="false">(D54*C54^3-(D54-E54)*(C54-2*F54)^3)/12</f>
        <v>569924698.666667</v>
      </c>
      <c r="K54" s="74" t="n">
        <f aca="false">J54/(C54/2)</f>
        <v>2849623.49333333</v>
      </c>
      <c r="L54" s="74" t="n">
        <f aca="false">E54*(C54-2*F54)</f>
        <v>4004</v>
      </c>
      <c r="M54" s="77" t="s">
        <v>435</v>
      </c>
      <c r="N54" s="77"/>
      <c r="O54" s="1" t="n">
        <f aca="false">(2*F54*D54^3+(C54-2*F54)*E54^3)/12</f>
        <v>192040373.666667</v>
      </c>
      <c r="P54" s="1" t="n">
        <f aca="false">IFERROR(SQRT(J54/H54),"")</f>
        <v>175.975669779705</v>
      </c>
      <c r="Q54" s="1" t="n">
        <f aca="false">IFERROR(SQRT(O54/H54),"")</f>
        <v>102.150420531867</v>
      </c>
    </row>
    <row r="55" customFormat="false" ht="32.25" hidden="false" customHeight="true" outlineLevel="0" collapsed="false">
      <c r="A55" s="74" t="s">
        <v>488</v>
      </c>
      <c r="B55" s="74" t="s">
        <v>409</v>
      </c>
      <c r="C55" s="74" t="n">
        <v>400</v>
      </c>
      <c r="D55" s="74" t="n">
        <v>400</v>
      </c>
      <c r="E55" s="74" t="n">
        <v>18</v>
      </c>
      <c r="F55" s="74" t="n">
        <v>18</v>
      </c>
      <c r="G55" s="74" t="n">
        <v>0</v>
      </c>
      <c r="H55" s="74" t="n">
        <f aca="false">2*D55*F55+(C55-2*F55)*E55</f>
        <v>20952</v>
      </c>
      <c r="I55" s="74" t="n">
        <f aca="false">H55*DB_Settings!$G$5</f>
        <v>164.4732</v>
      </c>
      <c r="J55" s="74" t="n">
        <f aca="false">(D55*C55^3-(D55-E55)*(C55-2*F55)^3)/12</f>
        <v>598058016</v>
      </c>
      <c r="K55" s="74" t="n">
        <f aca="false">J55/(C55/2)</f>
        <v>2990290.08</v>
      </c>
      <c r="L55" s="74" t="n">
        <f aca="false">E55*(C55-2*F55)</f>
        <v>6552</v>
      </c>
      <c r="M55" s="77" t="s">
        <v>435</v>
      </c>
      <c r="N55" s="77"/>
      <c r="O55" s="1" t="n">
        <f aca="false">(2*F55*D55^3+(C55-2*F55)*E55^3)/12</f>
        <v>192176904</v>
      </c>
      <c r="P55" s="1" t="n">
        <f aca="false">IFERROR(SQRT(J55/H55),"")</f>
        <v>168.950279732719</v>
      </c>
      <c r="Q55" s="1" t="n">
        <f aca="false">IFERROR(SQRT(O55/H55),"")</f>
        <v>95.7718449086423</v>
      </c>
    </row>
    <row r="56" customFormat="false" ht="32.25" hidden="false" customHeight="true" outlineLevel="0" collapsed="false">
      <c r="A56" s="74" t="s">
        <v>489</v>
      </c>
      <c r="B56" s="74" t="s">
        <v>409</v>
      </c>
      <c r="C56" s="74" t="n">
        <v>400</v>
      </c>
      <c r="D56" s="74" t="n">
        <v>400</v>
      </c>
      <c r="E56" s="74" t="n">
        <v>13</v>
      </c>
      <c r="F56" s="74" t="n">
        <v>21</v>
      </c>
      <c r="G56" s="74" t="n">
        <v>0</v>
      </c>
      <c r="H56" s="74" t="n">
        <f aca="false">2*D56*F56+(C56-2*F56)*E56</f>
        <v>21454</v>
      </c>
      <c r="I56" s="74" t="n">
        <f aca="false">H56*DB_Settings!$G$5</f>
        <v>168.4139</v>
      </c>
      <c r="J56" s="74" t="n">
        <f aca="false">(D56*C56^3-(D56-E56)*(C56-2*F56)^3)/12</f>
        <v>653615871.333333</v>
      </c>
      <c r="K56" s="74" t="n">
        <f aca="false">J56/(C56/2)</f>
        <v>3268079.35666667</v>
      </c>
      <c r="L56" s="74" t="n">
        <f aca="false">E56*(C56-2*F56)</f>
        <v>4654</v>
      </c>
      <c r="M56" s="77" t="s">
        <v>435</v>
      </c>
      <c r="N56" s="77"/>
      <c r="O56" s="1" t="n">
        <f aca="false">(2*F56*D56^3+(C56-2*F56)*E56^3)/12</f>
        <v>224065543.833333</v>
      </c>
      <c r="P56" s="1" t="n">
        <f aca="false">IFERROR(SQRT(J56/H56),"")</f>
        <v>174.544897096747</v>
      </c>
      <c r="Q56" s="1" t="n">
        <f aca="false">IFERROR(SQRT(O56/H56),"")</f>
        <v>102.195882992751</v>
      </c>
    </row>
    <row r="57" customFormat="false" ht="32.25" hidden="false" customHeight="true" outlineLevel="0" collapsed="false">
      <c r="A57" s="74" t="s">
        <v>490</v>
      </c>
      <c r="B57" s="74" t="s">
        <v>409</v>
      </c>
      <c r="C57" s="74" t="n">
        <v>400</v>
      </c>
      <c r="D57" s="74" t="n">
        <v>400</v>
      </c>
      <c r="E57" s="74" t="n">
        <v>21</v>
      </c>
      <c r="F57" s="74" t="n">
        <v>21</v>
      </c>
      <c r="G57" s="74" t="n">
        <v>0</v>
      </c>
      <c r="H57" s="74" t="n">
        <f aca="false">2*D57*F57+(C57-2*F57)*E57</f>
        <v>24318</v>
      </c>
      <c r="I57" s="74" t="n">
        <f aca="false">H57*DB_Settings!$G$5</f>
        <v>190.8963</v>
      </c>
      <c r="J57" s="74" t="n">
        <f aca="false">(D57*C57^3-(D57-E57)*(C57-2*F57)^3)/12</f>
        <v>684204346</v>
      </c>
      <c r="K57" s="74" t="n">
        <f aca="false">J57/(C57/2)</f>
        <v>3421021.73</v>
      </c>
      <c r="L57" s="74" t="n">
        <f aca="false">E57*(C57-2*F57)</f>
        <v>7518</v>
      </c>
      <c r="M57" s="77" t="s">
        <v>435</v>
      </c>
      <c r="N57" s="77"/>
      <c r="O57" s="1" t="n">
        <f aca="false">(2*F57*D57^3+(C57-2*F57)*E57^3)/12</f>
        <v>224276286.5</v>
      </c>
      <c r="P57" s="1" t="n">
        <f aca="false">IFERROR(SQRT(J57/H57),"")</f>
        <v>167.737044737641</v>
      </c>
      <c r="Q57" s="1" t="n">
        <f aca="false">IFERROR(SQRT(O57/H57),"")</f>
        <v>96.0346042926534</v>
      </c>
    </row>
    <row r="58" customFormat="false" ht="32.25" hidden="false" customHeight="true" outlineLevel="0" collapsed="false">
      <c r="A58" s="74" t="s">
        <v>491</v>
      </c>
      <c r="B58" s="74" t="s">
        <v>409</v>
      </c>
      <c r="C58" s="74" t="n">
        <v>400</v>
      </c>
      <c r="D58" s="74" t="n">
        <v>400</v>
      </c>
      <c r="E58" s="74" t="n">
        <v>18</v>
      </c>
      <c r="F58" s="74" t="n">
        <v>28</v>
      </c>
      <c r="G58" s="74" t="n">
        <v>0</v>
      </c>
      <c r="H58" s="74" t="n">
        <f aca="false">2*D58*F58+(C58-2*F58)*E58</f>
        <v>28592</v>
      </c>
      <c r="I58" s="74" t="n">
        <f aca="false">H58*DB_Settings!$G$5</f>
        <v>224.4472</v>
      </c>
      <c r="J58" s="74" t="n">
        <f aca="false">(D58*C58^3-(D58-E58)*(C58-2*F58)^3)/12</f>
        <v>837475242.666667</v>
      </c>
      <c r="K58" s="74" t="n">
        <f aca="false">J58/(C58/2)</f>
        <v>4187376.21333333</v>
      </c>
      <c r="L58" s="74" t="n">
        <f aca="false">E58*(C58-2*F58)</f>
        <v>6192</v>
      </c>
      <c r="M58" s="77" t="s">
        <v>435</v>
      </c>
      <c r="N58" s="77"/>
      <c r="O58" s="1" t="n">
        <f aca="false">(2*F58*D58^3+(C58-2*F58)*E58^3)/12</f>
        <v>298833850.666667</v>
      </c>
      <c r="P58" s="1" t="n">
        <f aca="false">IFERROR(SQRT(J58/H58),"")</f>
        <v>171.144805067043</v>
      </c>
      <c r="Q58" s="1" t="n">
        <f aca="false">IFERROR(SQRT(O58/H58),"")</f>
        <v>102.23335844252</v>
      </c>
    </row>
    <row r="59" customFormat="false" ht="32.25" hidden="false" customHeight="true" outlineLevel="0" collapsed="false">
      <c r="A59" s="74" t="s">
        <v>492</v>
      </c>
      <c r="B59" s="74" t="s">
        <v>409</v>
      </c>
      <c r="C59" s="74" t="n">
        <v>400</v>
      </c>
      <c r="D59" s="74" t="n">
        <v>400</v>
      </c>
      <c r="E59" s="74" t="n">
        <v>20</v>
      </c>
      <c r="F59" s="74" t="n">
        <v>35</v>
      </c>
      <c r="G59" s="74" t="n">
        <v>0</v>
      </c>
      <c r="H59" s="74" t="n">
        <f aca="false">2*D59*F59+(C59-2*F59)*E59</f>
        <v>34600</v>
      </c>
      <c r="I59" s="74" t="n">
        <f aca="false">H59*DB_Settings!$G$5</f>
        <v>271.61</v>
      </c>
      <c r="J59" s="74" t="n">
        <f aca="false">(D59*C59^3-(D59-E59)*(C59-2*F59)^3)/12</f>
        <v>995328333.333333</v>
      </c>
      <c r="K59" s="74" t="n">
        <f aca="false">J59/(C59/2)</f>
        <v>4976641.66666667</v>
      </c>
      <c r="L59" s="74" t="n">
        <f aca="false">E59*(C59-2*F59)</f>
        <v>6600</v>
      </c>
      <c r="M59" s="77" t="s">
        <v>435</v>
      </c>
      <c r="N59" s="77"/>
      <c r="O59" s="1" t="n">
        <f aca="false">(2*F59*D59^3+(C59-2*F59)*E59^3)/12</f>
        <v>373553333.333333</v>
      </c>
      <c r="P59" s="1" t="n">
        <f aca="false">IFERROR(SQRT(J59/H59),"")</f>
        <v>169.607531779174</v>
      </c>
      <c r="Q59" s="1" t="n">
        <f aca="false">IFERROR(SQRT(O59/H59),"")</f>
        <v>103.905433513749</v>
      </c>
    </row>
    <row r="60" customFormat="false" ht="32.25" hidden="false" customHeight="true" outlineLevel="0" collapsed="false">
      <c r="A60" s="74" t="s">
        <v>493</v>
      </c>
      <c r="B60" s="74" t="s">
        <v>409</v>
      </c>
      <c r="C60" s="74" t="n">
        <v>400</v>
      </c>
      <c r="D60" s="74" t="n">
        <v>400</v>
      </c>
      <c r="E60" s="74" t="n">
        <v>30</v>
      </c>
      <c r="F60" s="74" t="n">
        <v>50</v>
      </c>
      <c r="G60" s="74" t="n">
        <v>0</v>
      </c>
      <c r="H60" s="74" t="n">
        <f aca="false">2*D60*F60+(C60-2*F60)*E60</f>
        <v>49000</v>
      </c>
      <c r="I60" s="74" t="n">
        <f aca="false">H60*DB_Settings!$G$5</f>
        <v>384.65</v>
      </c>
      <c r="J60" s="74" t="n">
        <f aca="false">(D60*C60^3-(D60-E60)*(C60-2*F60)^3)/12</f>
        <v>1300833333.33333</v>
      </c>
      <c r="K60" s="74" t="n">
        <f aca="false">J60/(C60/2)</f>
        <v>6504166.66666667</v>
      </c>
      <c r="L60" s="74" t="n">
        <f aca="false">E60*(C60-2*F60)</f>
        <v>9000</v>
      </c>
      <c r="M60" s="77" t="s">
        <v>435</v>
      </c>
      <c r="N60" s="77"/>
      <c r="O60" s="1" t="n">
        <f aca="false">(2*F60*D60^3+(C60-2*F60)*E60^3)/12</f>
        <v>534008333.333333</v>
      </c>
      <c r="P60" s="1" t="n">
        <f aca="false">IFERROR(SQRT(J60/H60),"")</f>
        <v>162.934401056435</v>
      </c>
      <c r="Q60" s="1" t="n">
        <f aca="false">IFERROR(SQRT(O60/H60),"")</f>
        <v>104.394105445186</v>
      </c>
    </row>
    <row r="61" customFormat="false" ht="32.25" hidden="false" customHeight="true" outlineLevel="0" collapsed="false">
      <c r="A61" s="74" t="s">
        <v>494</v>
      </c>
      <c r="B61" s="74" t="s">
        <v>409</v>
      </c>
      <c r="C61" s="74" t="n">
        <v>400</v>
      </c>
      <c r="D61" s="74" t="n">
        <v>400</v>
      </c>
      <c r="E61" s="74" t="n">
        <v>45</v>
      </c>
      <c r="F61" s="74" t="n">
        <v>70</v>
      </c>
      <c r="G61" s="74" t="n">
        <v>0</v>
      </c>
      <c r="H61" s="74" t="n">
        <f aca="false">2*D61*F61+(C61-2*F61)*E61</f>
        <v>67700</v>
      </c>
      <c r="I61" s="74" t="n">
        <f aca="false">H61*DB_Settings!$G$5</f>
        <v>531.445</v>
      </c>
      <c r="J61" s="74" t="n">
        <f aca="false">(D61*C61^3-(D61-E61)*(C61-2*F61)^3)/12</f>
        <v>1613376666.66667</v>
      </c>
      <c r="K61" s="74" t="n">
        <f aca="false">J61/(C61/2)</f>
        <v>8066883.33333333</v>
      </c>
      <c r="L61" s="74" t="n">
        <f aca="false">E61*(C61-2*F61)</f>
        <v>11700</v>
      </c>
      <c r="M61" s="77" t="s">
        <v>435</v>
      </c>
      <c r="N61" s="77"/>
      <c r="O61" s="1" t="n">
        <f aca="false">(2*F61*D61^3+(C61-2*F61)*E61^3)/12</f>
        <v>748641041.666667</v>
      </c>
      <c r="P61" s="1" t="n">
        <f aca="false">IFERROR(SQRT(J61/H61),"")</f>
        <v>154.373784647877</v>
      </c>
      <c r="Q61" s="1" t="n">
        <f aca="false">IFERROR(SQRT(O61/H61),"")</f>
        <v>105.158039723847</v>
      </c>
    </row>
    <row r="62" customFormat="false" ht="32.25" hidden="false" customHeight="true" outlineLevel="0" collapsed="false">
      <c r="A62" s="74" t="s">
        <v>495</v>
      </c>
      <c r="B62" s="74" t="s">
        <v>409</v>
      </c>
      <c r="C62" s="74" t="n">
        <v>450</v>
      </c>
      <c r="D62" s="74" t="n">
        <v>200</v>
      </c>
      <c r="E62" s="74" t="n">
        <v>8</v>
      </c>
      <c r="F62" s="74" t="n">
        <v>12</v>
      </c>
      <c r="G62" s="74" t="n">
        <v>0</v>
      </c>
      <c r="H62" s="74" t="n">
        <f aca="false">2*D62*F62+(C62-2*F62)*E62</f>
        <v>8208</v>
      </c>
      <c r="I62" s="74" t="n">
        <f aca="false">H62*DB_Settings!$G$5</f>
        <v>64.4328</v>
      </c>
      <c r="J62" s="74" t="n">
        <f aca="false">(D62*C62^3-(D62-E62)*(C62-2*F62)^3)/12</f>
        <v>281809584</v>
      </c>
      <c r="K62" s="74" t="n">
        <f aca="false">J62/(C62/2)</f>
        <v>1252487.04</v>
      </c>
      <c r="L62" s="74" t="n">
        <f aca="false">E62*(C62-2*F62)</f>
        <v>3408</v>
      </c>
      <c r="M62" s="77" t="s">
        <v>435</v>
      </c>
      <c r="N62" s="77"/>
      <c r="O62" s="1" t="n">
        <f aca="false">(2*F62*D62^3+(C62-2*F62)*E62^3)/12</f>
        <v>16018176</v>
      </c>
      <c r="P62" s="1" t="n">
        <f aca="false">IFERROR(SQRT(J62/H62),"")</f>
        <v>185.293082212449</v>
      </c>
      <c r="Q62" s="1" t="n">
        <f aca="false">IFERROR(SQRT(O62/H62),"")</f>
        <v>44.1761492634056</v>
      </c>
    </row>
    <row r="63" customFormat="false" ht="32.25" hidden="false" customHeight="true" outlineLevel="0" collapsed="false">
      <c r="A63" s="74" t="s">
        <v>496</v>
      </c>
      <c r="B63" s="74" t="s">
        <v>409</v>
      </c>
      <c r="C63" s="74" t="n">
        <v>450</v>
      </c>
      <c r="D63" s="74" t="n">
        <v>200</v>
      </c>
      <c r="E63" s="74" t="n">
        <v>9</v>
      </c>
      <c r="F63" s="74" t="n">
        <v>14</v>
      </c>
      <c r="G63" s="74" t="n">
        <v>0</v>
      </c>
      <c r="H63" s="74" t="n">
        <f aca="false">2*D63*F63+(C63-2*F63)*E63</f>
        <v>9398</v>
      </c>
      <c r="I63" s="74" t="n">
        <f aca="false">H63*DB_Settings!$G$5</f>
        <v>73.7743</v>
      </c>
      <c r="J63" s="74" t="n">
        <f aca="false">(D63*C63^3-(D63-E63)*(C63-2*F63)^3)/12</f>
        <v>322589452.666667</v>
      </c>
      <c r="K63" s="74" t="n">
        <f aca="false">J63/(C63/2)</f>
        <v>1433730.90074074</v>
      </c>
      <c r="L63" s="74" t="n">
        <f aca="false">E63*(C63-2*F63)</f>
        <v>3798</v>
      </c>
      <c r="M63" s="77" t="s">
        <v>435</v>
      </c>
      <c r="N63" s="77"/>
      <c r="O63" s="1" t="n">
        <f aca="false">(2*F63*D63^3+(C63-2*F63)*E63^3)/12</f>
        <v>18692303.1666667</v>
      </c>
      <c r="P63" s="1" t="n">
        <f aca="false">IFERROR(SQRT(J63/H63),"")</f>
        <v>185.270964107074</v>
      </c>
      <c r="Q63" s="1" t="n">
        <f aca="false">IFERROR(SQRT(O63/H63),"")</f>
        <v>44.5978258925484</v>
      </c>
    </row>
    <row r="64" customFormat="false" ht="32.25" hidden="false" customHeight="true" outlineLevel="0" collapsed="false">
      <c r="A64" s="74" t="s">
        <v>497</v>
      </c>
      <c r="B64" s="74" t="s">
        <v>409</v>
      </c>
      <c r="C64" s="74" t="n">
        <v>450</v>
      </c>
      <c r="D64" s="74" t="n">
        <v>200</v>
      </c>
      <c r="E64" s="74" t="n">
        <v>10</v>
      </c>
      <c r="F64" s="74" t="n">
        <v>17</v>
      </c>
      <c r="G64" s="74" t="n">
        <v>0</v>
      </c>
      <c r="H64" s="74" t="n">
        <f aca="false">2*D64*F64+(C64-2*F64)*E64</f>
        <v>10960</v>
      </c>
      <c r="I64" s="74" t="n">
        <f aca="false">H64*DB_Settings!$G$5</f>
        <v>86.036</v>
      </c>
      <c r="J64" s="74" t="n">
        <f aca="false">(D64*C64^3-(D64-E64)*(C64-2*F64)^3)/12</f>
        <v>378887813.333333</v>
      </c>
      <c r="K64" s="74" t="n">
        <f aca="false">J64/(C64/2)</f>
        <v>1683945.83703704</v>
      </c>
      <c r="L64" s="74" t="n">
        <f aca="false">E64*(C64-2*F64)</f>
        <v>4160</v>
      </c>
      <c r="M64" s="77" t="s">
        <v>435</v>
      </c>
      <c r="N64" s="77"/>
      <c r="O64" s="1" t="n">
        <f aca="false">(2*F64*D64^3+(C64-2*F64)*E64^3)/12</f>
        <v>22701333.3333333</v>
      </c>
      <c r="P64" s="1" t="n">
        <f aca="false">IFERROR(SQRT(J64/H64),"")</f>
        <v>185.930244879822</v>
      </c>
      <c r="Q64" s="1" t="n">
        <f aca="false">IFERROR(SQRT(O64/H64),"")</f>
        <v>45.5114220576867</v>
      </c>
    </row>
    <row r="65" customFormat="false" ht="32.25" hidden="false" customHeight="true" outlineLevel="0" collapsed="false">
      <c r="A65" s="74" t="s">
        <v>498</v>
      </c>
      <c r="B65" s="74" t="s">
        <v>409</v>
      </c>
      <c r="C65" s="74" t="n">
        <v>450</v>
      </c>
      <c r="D65" s="74" t="n">
        <v>200</v>
      </c>
      <c r="E65" s="74" t="n">
        <v>14</v>
      </c>
      <c r="F65" s="74" t="n">
        <v>22</v>
      </c>
      <c r="G65" s="74" t="n">
        <v>0</v>
      </c>
      <c r="H65" s="74" t="n">
        <f aca="false">2*D65*F65+(C65-2*F65)*E65</f>
        <v>14484</v>
      </c>
      <c r="I65" s="74" t="n">
        <f aca="false">H65*DB_Settings!$G$5</f>
        <v>113.6994</v>
      </c>
      <c r="J65" s="74" t="n">
        <f aca="false">(D65*C65^3-(D65-E65)*(C65-2*F65)^3)/12</f>
        <v>481437052</v>
      </c>
      <c r="K65" s="74" t="n">
        <f aca="false">J65/(C65/2)</f>
        <v>2139720.23111111</v>
      </c>
      <c r="L65" s="74" t="n">
        <f aca="false">E65*(C65-2*F65)</f>
        <v>5684</v>
      </c>
      <c r="M65" s="77" t="s">
        <v>435</v>
      </c>
      <c r="N65" s="77"/>
      <c r="O65" s="1" t="n">
        <f aca="false">(2*F65*D65^3+(C65-2*F65)*E65^3)/12</f>
        <v>29426172</v>
      </c>
      <c r="P65" s="1" t="n">
        <f aca="false">IFERROR(SQRT(J65/H65),"")</f>
        <v>182.316299558715</v>
      </c>
      <c r="Q65" s="1" t="n">
        <f aca="false">IFERROR(SQRT(O65/H65),"")</f>
        <v>45.0736394616242</v>
      </c>
    </row>
    <row r="66" customFormat="false" ht="32.25" hidden="false" customHeight="true" outlineLevel="0" collapsed="false">
      <c r="A66" s="74" t="s">
        <v>499</v>
      </c>
      <c r="B66" s="74" t="s">
        <v>409</v>
      </c>
      <c r="C66" s="74" t="n">
        <v>450</v>
      </c>
      <c r="D66" s="74" t="n">
        <v>200</v>
      </c>
      <c r="E66" s="74" t="n">
        <v>17</v>
      </c>
      <c r="F66" s="74" t="n">
        <v>28</v>
      </c>
      <c r="G66" s="74" t="n">
        <v>0</v>
      </c>
      <c r="H66" s="74" t="n">
        <f aca="false">2*D66*F66+(C66-2*F66)*E66</f>
        <v>17898</v>
      </c>
      <c r="I66" s="74" t="n">
        <f aca="false">H66*DB_Settings!$G$5</f>
        <v>140.4993</v>
      </c>
      <c r="J66" s="74" t="n">
        <f aca="false">(D66*C66^3-(D66-E66)*(C66-2*F66)^3)/12</f>
        <v>586014494</v>
      </c>
      <c r="K66" s="74" t="n">
        <f aca="false">J66/(C66/2)</f>
        <v>2604508.86222222</v>
      </c>
      <c r="L66" s="74" t="n">
        <f aca="false">E66*(C66-2*F66)</f>
        <v>6698</v>
      </c>
      <c r="M66" s="77" t="s">
        <v>435</v>
      </c>
      <c r="N66" s="77"/>
      <c r="O66" s="1" t="n">
        <f aca="false">(2*F66*D66^3+(C66-2*F66)*E66^3)/12</f>
        <v>37494643.5</v>
      </c>
      <c r="P66" s="1" t="n">
        <f aca="false">IFERROR(SQRT(J66/H66),"")</f>
        <v>180.947224905264</v>
      </c>
      <c r="Q66" s="1" t="n">
        <f aca="false">IFERROR(SQRT(O66/H66),"")</f>
        <v>45.7701528185987</v>
      </c>
    </row>
    <row r="67" customFormat="false" ht="32.25" hidden="false" customHeight="true" outlineLevel="0" collapsed="false">
      <c r="A67" s="74" t="s">
        <v>500</v>
      </c>
      <c r="B67" s="74" t="s">
        <v>409</v>
      </c>
      <c r="C67" s="74" t="n">
        <v>450</v>
      </c>
      <c r="D67" s="74" t="n">
        <v>300</v>
      </c>
      <c r="E67" s="74" t="n">
        <v>10</v>
      </c>
      <c r="F67" s="74" t="n">
        <v>15</v>
      </c>
      <c r="G67" s="74" t="n">
        <v>0</v>
      </c>
      <c r="H67" s="74" t="n">
        <f aca="false">2*D67*F67+(C67-2*F67)*E67</f>
        <v>13200</v>
      </c>
      <c r="I67" s="74" t="n">
        <f aca="false">H67*DB_Settings!$G$5</f>
        <v>103.62</v>
      </c>
      <c r="J67" s="74" t="n">
        <f aca="false">(D67*C67^3-(D67-E67)*(C67-2*F67)^3)/12</f>
        <v>487665000</v>
      </c>
      <c r="K67" s="74" t="n">
        <f aca="false">J67/(C67/2)</f>
        <v>2167400</v>
      </c>
      <c r="L67" s="74" t="n">
        <f aca="false">E67*(C67-2*F67)</f>
        <v>4200</v>
      </c>
      <c r="M67" s="77" t="s">
        <v>435</v>
      </c>
      <c r="N67" s="77"/>
      <c r="O67" s="1" t="n">
        <f aca="false">(2*F67*D67^3+(C67-2*F67)*E67^3)/12</f>
        <v>67535000</v>
      </c>
      <c r="P67" s="1" t="n">
        <f aca="false">IFERROR(SQRT(J67/H67),"")</f>
        <v>192.20904812682</v>
      </c>
      <c r="Q67" s="1" t="n">
        <f aca="false">IFERROR(SQRT(O67/H67),"")</f>
        <v>71.5282313411137</v>
      </c>
    </row>
    <row r="68" customFormat="false" ht="32.25" hidden="false" customHeight="true" outlineLevel="0" collapsed="false">
      <c r="A68" s="74" t="s">
        <v>501</v>
      </c>
      <c r="B68" s="74" t="s">
        <v>409</v>
      </c>
      <c r="C68" s="74" t="n">
        <v>450</v>
      </c>
      <c r="D68" s="74" t="n">
        <v>300</v>
      </c>
      <c r="E68" s="74" t="n">
        <v>11</v>
      </c>
      <c r="F68" s="74" t="n">
        <v>18</v>
      </c>
      <c r="G68" s="74" t="n">
        <v>0</v>
      </c>
      <c r="H68" s="74" t="n">
        <f aca="false">2*D68*F68+(C68-2*F68)*E68</f>
        <v>15354</v>
      </c>
      <c r="I68" s="74" t="n">
        <f aca="false">H68*DB_Settings!$G$5</f>
        <v>120.5289</v>
      </c>
      <c r="J68" s="74" t="n">
        <f aca="false">(D68*C68^3-(D68-E68)*(C68-2*F68)^3)/12</f>
        <v>569221182</v>
      </c>
      <c r="K68" s="74" t="n">
        <f aca="false">J68/(C68/2)</f>
        <v>2529871.92</v>
      </c>
      <c r="L68" s="74" t="n">
        <f aca="false">E68*(C68-2*F68)</f>
        <v>4554</v>
      </c>
      <c r="M68" s="77" t="s">
        <v>435</v>
      </c>
      <c r="N68" s="77"/>
      <c r="O68" s="1" t="n">
        <f aca="false">(2*F68*D68^3+(C68-2*F68)*E68^3)/12</f>
        <v>81045919.5</v>
      </c>
      <c r="P68" s="1" t="n">
        <f aca="false">IFERROR(SQRT(J68/H68),"")</f>
        <v>192.543897341055</v>
      </c>
      <c r="Q68" s="1" t="n">
        <f aca="false">IFERROR(SQRT(O68/H68),"")</f>
        <v>72.653210256199</v>
      </c>
    </row>
    <row r="69" customFormat="false" ht="32.25" hidden="false" customHeight="true" outlineLevel="0" collapsed="false">
      <c r="A69" s="74" t="s">
        <v>502</v>
      </c>
      <c r="B69" s="74" t="s">
        <v>409</v>
      </c>
      <c r="C69" s="74" t="n">
        <v>450</v>
      </c>
      <c r="D69" s="74" t="n">
        <v>300</v>
      </c>
      <c r="E69" s="74" t="n">
        <v>13</v>
      </c>
      <c r="F69" s="74" t="n">
        <v>21</v>
      </c>
      <c r="G69" s="74" t="n">
        <v>0</v>
      </c>
      <c r="H69" s="74" t="n">
        <f aca="false">2*D69*F69+(C69-2*F69)*E69</f>
        <v>17904</v>
      </c>
      <c r="I69" s="74" t="n">
        <f aca="false">H69*DB_Settings!$G$5</f>
        <v>140.5464</v>
      </c>
      <c r="J69" s="74" t="n">
        <f aca="false">(D69*C69^3-(D69-E69)*(C69-2*F69)^3)/12</f>
        <v>653769288</v>
      </c>
      <c r="K69" s="74" t="n">
        <f aca="false">J69/(C69/2)</f>
        <v>2905641.28</v>
      </c>
      <c r="L69" s="74" t="n">
        <f aca="false">E69*(C69-2*F69)</f>
        <v>5304</v>
      </c>
      <c r="M69" s="77" t="s">
        <v>435</v>
      </c>
      <c r="N69" s="77"/>
      <c r="O69" s="1" t="n">
        <f aca="false">(2*F69*D69^3+(C69-2*F69)*E69^3)/12</f>
        <v>94574698</v>
      </c>
      <c r="P69" s="1" t="n">
        <f aca="false">IFERROR(SQRT(J69/H69),"")</f>
        <v>191.08967548004</v>
      </c>
      <c r="Q69" s="1" t="n">
        <f aca="false">IFERROR(SQRT(O69/H69),"")</f>
        <v>72.6795863661324</v>
      </c>
    </row>
    <row r="70" customFormat="false" ht="32.25" hidden="false" customHeight="true" outlineLevel="0" collapsed="false">
      <c r="A70" s="74" t="s">
        <v>503</v>
      </c>
      <c r="B70" s="74" t="s">
        <v>409</v>
      </c>
      <c r="C70" s="74" t="n">
        <v>450</v>
      </c>
      <c r="D70" s="74" t="n">
        <v>300</v>
      </c>
      <c r="E70" s="74" t="n">
        <v>15</v>
      </c>
      <c r="F70" s="74" t="n">
        <v>23</v>
      </c>
      <c r="G70" s="74" t="n">
        <v>0</v>
      </c>
      <c r="H70" s="74" t="n">
        <f aca="false">2*D70*F70+(C70-2*F70)*E70</f>
        <v>19860</v>
      </c>
      <c r="I70" s="74" t="n">
        <f aca="false">H70*DB_Settings!$G$5</f>
        <v>155.901</v>
      </c>
      <c r="J70" s="74" t="n">
        <f aca="false">(D70*C70^3-(D70-E70)*(C70-2*F70)^3)/12</f>
        <v>712067480</v>
      </c>
      <c r="K70" s="74" t="n">
        <f aca="false">J70/(C70/2)</f>
        <v>3164744.35555556</v>
      </c>
      <c r="L70" s="74" t="n">
        <f aca="false">E70*(C70-2*F70)</f>
        <v>6060</v>
      </c>
      <c r="M70" s="77" t="s">
        <v>435</v>
      </c>
      <c r="N70" s="77"/>
      <c r="O70" s="1" t="n">
        <f aca="false">(2*F70*D70^3+(C70-2*F70)*E70^3)/12</f>
        <v>103613625</v>
      </c>
      <c r="P70" s="1" t="n">
        <f aca="false">IFERROR(SQRT(J70/H70),"")</f>
        <v>189.352460985775</v>
      </c>
      <c r="Q70" s="1" t="n">
        <f aca="false">IFERROR(SQRT(O70/H70),"")</f>
        <v>72.2301990972711</v>
      </c>
    </row>
    <row r="71" customFormat="false" ht="32.25" hidden="false" customHeight="true" outlineLevel="0" collapsed="false">
      <c r="A71" s="74" t="s">
        <v>504</v>
      </c>
      <c r="B71" s="74" t="s">
        <v>409</v>
      </c>
      <c r="C71" s="74" t="n">
        <v>450</v>
      </c>
      <c r="D71" s="74" t="n">
        <v>300</v>
      </c>
      <c r="E71" s="74" t="n">
        <v>17</v>
      </c>
      <c r="F71" s="74" t="n">
        <v>27</v>
      </c>
      <c r="G71" s="74" t="n">
        <v>0</v>
      </c>
      <c r="H71" s="74" t="n">
        <f aca="false">2*D71*F71+(C71-2*F71)*E71</f>
        <v>22932</v>
      </c>
      <c r="I71" s="74" t="n">
        <f aca="false">H71*DB_Settings!$G$5</f>
        <v>180.0162</v>
      </c>
      <c r="J71" s="74" t="n">
        <f aca="false">(D71*C71^3-(D71-E71)*(C71-2*F71)^3)/12</f>
        <v>813620376</v>
      </c>
      <c r="K71" s="74" t="n">
        <f aca="false">J71/(C71/2)</f>
        <v>3616090.56</v>
      </c>
      <c r="L71" s="74" t="n">
        <f aca="false">E71*(C71-2*F71)</f>
        <v>6732</v>
      </c>
      <c r="M71" s="77" t="s">
        <v>435</v>
      </c>
      <c r="N71" s="77"/>
      <c r="O71" s="1" t="n">
        <f aca="false">(2*F71*D71^3+(C71-2*F71)*E71^3)/12</f>
        <v>121662129</v>
      </c>
      <c r="P71" s="1" t="n">
        <f aca="false">IFERROR(SQRT(J71/H71),"")</f>
        <v>188.360546419386</v>
      </c>
      <c r="Q71" s="1" t="n">
        <f aca="false">IFERROR(SQRT(O71/H71),"")</f>
        <v>72.8377865187451</v>
      </c>
    </row>
    <row r="72" customFormat="false" ht="32.25" hidden="false" customHeight="true" outlineLevel="0" collapsed="false">
      <c r="A72" s="74" t="s">
        <v>505</v>
      </c>
      <c r="B72" s="74" t="s">
        <v>409</v>
      </c>
      <c r="C72" s="74" t="n">
        <v>450</v>
      </c>
      <c r="D72" s="74" t="n">
        <v>300</v>
      </c>
      <c r="E72" s="74" t="n">
        <v>19</v>
      </c>
      <c r="F72" s="74" t="n">
        <v>32</v>
      </c>
      <c r="G72" s="74" t="n">
        <v>0</v>
      </c>
      <c r="H72" s="74" t="n">
        <f aca="false">2*D72*F72+(C72-2*F72)*E72</f>
        <v>26534</v>
      </c>
      <c r="I72" s="74" t="n">
        <f aca="false">H72*DB_Settings!$G$5</f>
        <v>208.2919</v>
      </c>
      <c r="J72" s="74" t="n">
        <f aca="false">(D72*C72^3-(D72-E72)*(C72-2*F72)^3)/12</f>
        <v>931374988.666667</v>
      </c>
      <c r="K72" s="74" t="n">
        <f aca="false">J72/(C72/2)</f>
        <v>4139444.39407407</v>
      </c>
      <c r="L72" s="74" t="n">
        <f aca="false">E72*(C72-2*F72)</f>
        <v>7334</v>
      </c>
      <c r="M72" s="77" t="s">
        <v>435</v>
      </c>
      <c r="N72" s="77"/>
      <c r="O72" s="1" t="n">
        <f aca="false">(2*F72*D72^3+(C72-2*F72)*E72^3)/12</f>
        <v>144220631.166667</v>
      </c>
      <c r="P72" s="1" t="n">
        <f aca="false">IFERROR(SQRT(J72/H72),"")</f>
        <v>187.353117128395</v>
      </c>
      <c r="Q72" s="1" t="n">
        <f aca="false">IFERROR(SQRT(O72/H72),"")</f>
        <v>73.7245844863127</v>
      </c>
    </row>
    <row r="73" customFormat="false" ht="32.25" hidden="false" customHeight="true" outlineLevel="0" collapsed="false">
      <c r="A73" s="74" t="s">
        <v>506</v>
      </c>
      <c r="B73" s="74" t="s">
        <v>409</v>
      </c>
      <c r="C73" s="74" t="n">
        <v>500</v>
      </c>
      <c r="D73" s="74" t="n">
        <v>200</v>
      </c>
      <c r="E73" s="74" t="n">
        <v>9</v>
      </c>
      <c r="F73" s="74" t="n">
        <v>14</v>
      </c>
      <c r="G73" s="74" t="n">
        <v>0</v>
      </c>
      <c r="H73" s="74" t="n">
        <f aca="false">2*D73*F73+(C73-2*F73)*E73</f>
        <v>9848</v>
      </c>
      <c r="I73" s="74" t="n">
        <f aca="false">H73*DB_Settings!$G$5</f>
        <v>77.3068</v>
      </c>
      <c r="J73" s="74" t="n">
        <f aca="false">(D73*C73^3-(D73-E73)*(C73-2*F73)^3)/12</f>
        <v>409631402.666667</v>
      </c>
      <c r="K73" s="74" t="n">
        <f aca="false">J73/(C73/2)</f>
        <v>1638525.61066667</v>
      </c>
      <c r="L73" s="74" t="n">
        <f aca="false">E73*(C73-2*F73)</f>
        <v>4248</v>
      </c>
      <c r="M73" s="77" t="s">
        <v>435</v>
      </c>
      <c r="N73" s="77"/>
      <c r="O73" s="1" t="n">
        <f aca="false">(2*F73*D73^3+(C73-2*F73)*E73^3)/12</f>
        <v>18695340.6666667</v>
      </c>
      <c r="P73" s="1" t="n">
        <f aca="false">IFERROR(SQRT(J73/H73),"")</f>
        <v>203.949479522923</v>
      </c>
      <c r="Q73" s="1" t="n">
        <f aca="false">IFERROR(SQRT(O73/H73),"")</f>
        <v>43.5705128316217</v>
      </c>
    </row>
    <row r="74" customFormat="false" ht="32.25" hidden="false" customHeight="true" outlineLevel="0" collapsed="false">
      <c r="A74" s="74" t="s">
        <v>507</v>
      </c>
      <c r="B74" s="74" t="s">
        <v>409</v>
      </c>
      <c r="C74" s="74" t="n">
        <v>500</v>
      </c>
      <c r="D74" s="74" t="n">
        <v>200</v>
      </c>
      <c r="E74" s="74" t="n">
        <v>10</v>
      </c>
      <c r="F74" s="74" t="n">
        <v>16</v>
      </c>
      <c r="G74" s="74" t="n">
        <v>0</v>
      </c>
      <c r="H74" s="74" t="n">
        <f aca="false">2*D74*F74+(C74-2*F74)*E74</f>
        <v>11080</v>
      </c>
      <c r="I74" s="74" t="n">
        <f aca="false">H74*DB_Settings!$G$5</f>
        <v>86.978</v>
      </c>
      <c r="J74" s="74" t="n">
        <f aca="false">(D74*C74^3-(D74-E74)*(C74-2*F74)^3)/12</f>
        <v>460365493.333333</v>
      </c>
      <c r="K74" s="74" t="n">
        <f aca="false">J74/(C74/2)</f>
        <v>1841461.97333333</v>
      </c>
      <c r="L74" s="74" t="n">
        <f aca="false">E74*(C74-2*F74)</f>
        <v>4680</v>
      </c>
      <c r="M74" s="77" t="s">
        <v>435</v>
      </c>
      <c r="N74" s="77"/>
      <c r="O74" s="1" t="n">
        <f aca="false">(2*F74*D74^3+(C74-2*F74)*E74^3)/12</f>
        <v>21372333.3333333</v>
      </c>
      <c r="P74" s="1" t="n">
        <f aca="false">IFERROR(SQRT(J74/H74),"")</f>
        <v>203.836287864308</v>
      </c>
      <c r="Q74" s="1" t="n">
        <f aca="false">IFERROR(SQRT(O74/H74),"")</f>
        <v>43.9193687416139</v>
      </c>
    </row>
    <row r="75" customFormat="false" ht="32.25" hidden="false" customHeight="true" outlineLevel="0" collapsed="false">
      <c r="A75" s="74" t="s">
        <v>508</v>
      </c>
      <c r="B75" s="74" t="s">
        <v>409</v>
      </c>
      <c r="C75" s="74" t="n">
        <v>500</v>
      </c>
      <c r="D75" s="74" t="n">
        <v>200</v>
      </c>
      <c r="E75" s="74" t="n">
        <v>11</v>
      </c>
      <c r="F75" s="74" t="n">
        <v>19</v>
      </c>
      <c r="G75" s="74" t="n">
        <v>0</v>
      </c>
      <c r="H75" s="74" t="n">
        <f aca="false">2*D75*F75+(C75-2*F75)*E75</f>
        <v>12682</v>
      </c>
      <c r="I75" s="74" t="n">
        <f aca="false">H75*DB_Settings!$G$5</f>
        <v>99.5537</v>
      </c>
      <c r="J75" s="74" t="n">
        <f aca="false">(D75*C75^3-(D75-E75)*(C75-2*F75)^3)/12</f>
        <v>530208067.333333</v>
      </c>
      <c r="K75" s="74" t="n">
        <f aca="false">J75/(C75/2)</f>
        <v>2120832.26933333</v>
      </c>
      <c r="L75" s="74" t="n">
        <f aca="false">E75*(C75-2*F75)</f>
        <v>5082</v>
      </c>
      <c r="M75" s="77" t="s">
        <v>435</v>
      </c>
      <c r="N75" s="77"/>
      <c r="O75" s="1" t="n">
        <f aca="false">(2*F75*D75^3+(C75-2*F75)*E75^3)/12</f>
        <v>25384576.8333333</v>
      </c>
      <c r="P75" s="1" t="n">
        <f aca="false">IFERROR(SQRT(J75/H75),"")</f>
        <v>204.469856071106</v>
      </c>
      <c r="Q75" s="1" t="n">
        <f aca="false">IFERROR(SQRT(O75/H75),"")</f>
        <v>44.7394962280046</v>
      </c>
    </row>
    <row r="76" customFormat="false" ht="32.25" hidden="false" customHeight="true" outlineLevel="0" collapsed="false">
      <c r="A76" s="74" t="s">
        <v>509</v>
      </c>
      <c r="B76" s="74" t="s">
        <v>409</v>
      </c>
      <c r="C76" s="74" t="n">
        <v>500</v>
      </c>
      <c r="D76" s="74" t="n">
        <v>200</v>
      </c>
      <c r="E76" s="74" t="n">
        <v>12</v>
      </c>
      <c r="F76" s="74" t="n">
        <v>22</v>
      </c>
      <c r="G76" s="74" t="n">
        <v>0</v>
      </c>
      <c r="H76" s="74" t="n">
        <f aca="false">2*D76*F76+(C76-2*F76)*E76</f>
        <v>14272</v>
      </c>
      <c r="I76" s="74" t="n">
        <f aca="false">H76*DB_Settings!$G$5</f>
        <v>112.0352</v>
      </c>
      <c r="J76" s="74" t="n">
        <f aca="false">(D76*C76^3-(D76-E76)*(C76-2*F76)^3)/12</f>
        <v>597838549.333333</v>
      </c>
      <c r="K76" s="74" t="n">
        <f aca="false">J76/(C76/2)</f>
        <v>2391354.19733333</v>
      </c>
      <c r="L76" s="74" t="n">
        <f aca="false">E76*(C76-2*F76)</f>
        <v>5472</v>
      </c>
      <c r="M76" s="77" t="s">
        <v>435</v>
      </c>
      <c r="N76" s="77"/>
      <c r="O76" s="1" t="n">
        <f aca="false">(2*F76*D76^3+(C76-2*F76)*E76^3)/12</f>
        <v>29398997.3333333</v>
      </c>
      <c r="P76" s="1" t="n">
        <f aca="false">IFERROR(SQRT(J76/H76),"")</f>
        <v>204.667808432762</v>
      </c>
      <c r="Q76" s="1" t="n">
        <f aca="false">IFERROR(SQRT(O76/H76),"")</f>
        <v>45.3862019160529</v>
      </c>
    </row>
    <row r="77" customFormat="false" ht="32.25" hidden="false" customHeight="true" outlineLevel="0" collapsed="false">
      <c r="A77" s="74" t="s">
        <v>510</v>
      </c>
      <c r="B77" s="74" t="s">
        <v>409</v>
      </c>
      <c r="C77" s="74" t="n">
        <v>500</v>
      </c>
      <c r="D77" s="74" t="n">
        <v>200</v>
      </c>
      <c r="E77" s="74" t="n">
        <v>15</v>
      </c>
      <c r="F77" s="74" t="n">
        <v>25</v>
      </c>
      <c r="G77" s="74" t="n">
        <v>0</v>
      </c>
      <c r="H77" s="74" t="n">
        <f aca="false">2*D77*F77+(C77-2*F77)*E77</f>
        <v>16750</v>
      </c>
      <c r="I77" s="74" t="n">
        <f aca="false">H77*DB_Settings!$G$5</f>
        <v>131.4875</v>
      </c>
      <c r="J77" s="74" t="n">
        <f aca="false">(D77*C77^3-(D77-E77)*(C77-2*F77)^3)/12</f>
        <v>678489583.333333</v>
      </c>
      <c r="K77" s="74" t="n">
        <f aca="false">J77/(C77/2)</f>
        <v>2713958.33333333</v>
      </c>
      <c r="L77" s="74" t="n">
        <f aca="false">E77*(C77-2*F77)</f>
        <v>6750</v>
      </c>
      <c r="M77" s="77" t="s">
        <v>435</v>
      </c>
      <c r="N77" s="77"/>
      <c r="O77" s="1" t="n">
        <f aca="false">(2*F77*D77^3+(C77-2*F77)*E77^3)/12</f>
        <v>33459895.8333333</v>
      </c>
      <c r="P77" s="1" t="n">
        <f aca="false">IFERROR(SQRT(J77/H77),"")</f>
        <v>201.263113351702</v>
      </c>
      <c r="Q77" s="1" t="n">
        <f aca="false">IFERROR(SQRT(O77/H77),"")</f>
        <v>44.6945826850753</v>
      </c>
    </row>
    <row r="78" customFormat="false" ht="32.25" hidden="false" customHeight="true" outlineLevel="0" collapsed="false">
      <c r="A78" s="74" t="s">
        <v>511</v>
      </c>
      <c r="B78" s="74" t="s">
        <v>409</v>
      </c>
      <c r="C78" s="74" t="n">
        <v>500</v>
      </c>
      <c r="D78" s="74" t="n">
        <v>200</v>
      </c>
      <c r="E78" s="74" t="n">
        <v>18</v>
      </c>
      <c r="F78" s="74" t="n">
        <v>30</v>
      </c>
      <c r="G78" s="74" t="n">
        <v>0</v>
      </c>
      <c r="H78" s="74" t="n">
        <f aca="false">2*D78*F78+(C78-2*F78)*E78</f>
        <v>19920</v>
      </c>
      <c r="I78" s="74" t="n">
        <f aca="false">H78*DB_Settings!$G$5</f>
        <v>156.372</v>
      </c>
      <c r="J78" s="74" t="n">
        <f aca="false">(D78*C78^3-(D78-E78)*(C78-2*F78)^3)/12</f>
        <v>791376000</v>
      </c>
      <c r="K78" s="74" t="n">
        <f aca="false">J78/(C78/2)</f>
        <v>3165504</v>
      </c>
      <c r="L78" s="74" t="n">
        <f aca="false">E78*(C78-2*F78)</f>
        <v>7920</v>
      </c>
      <c r="M78" s="77" t="s">
        <v>435</v>
      </c>
      <c r="N78" s="77"/>
      <c r="O78" s="1" t="n">
        <f aca="false">(2*F78*D78^3+(C78-2*F78)*E78^3)/12</f>
        <v>40213840</v>
      </c>
      <c r="P78" s="1" t="n">
        <f aca="false">IFERROR(SQRT(J78/H78),"")</f>
        <v>199.318114689492</v>
      </c>
      <c r="Q78" s="1" t="n">
        <f aca="false">IFERROR(SQRT(O78/H78),"")</f>
        <v>44.930691829451</v>
      </c>
    </row>
    <row r="79" customFormat="false" ht="32.25" hidden="false" customHeight="true" outlineLevel="0" collapsed="false">
      <c r="A79" s="74" t="s">
        <v>512</v>
      </c>
      <c r="B79" s="74" t="s">
        <v>409</v>
      </c>
      <c r="C79" s="74" t="n">
        <v>500</v>
      </c>
      <c r="D79" s="74" t="n">
        <v>200</v>
      </c>
      <c r="E79" s="74" t="n">
        <v>20</v>
      </c>
      <c r="F79" s="74" t="n">
        <v>34</v>
      </c>
      <c r="G79" s="74" t="n">
        <v>0</v>
      </c>
      <c r="H79" s="74" t="n">
        <f aca="false">2*D79*F79+(C79-2*F79)*E79</f>
        <v>22240</v>
      </c>
      <c r="I79" s="74" t="n">
        <f aca="false">H79*DB_Settings!$G$5</f>
        <v>174.584</v>
      </c>
      <c r="J79" s="74" t="n">
        <f aca="false">(D79*C79^3-(D79-E79)*(C79-2*F79)^3)/12</f>
        <v>874009813.333333</v>
      </c>
      <c r="K79" s="74" t="n">
        <f aca="false">J79/(C79/2)</f>
        <v>3496039.25333333</v>
      </c>
      <c r="L79" s="74" t="n">
        <f aca="false">E79*(C79-2*F79)</f>
        <v>8640</v>
      </c>
      <c r="M79" s="77" t="s">
        <v>435</v>
      </c>
      <c r="N79" s="77"/>
      <c r="O79" s="1" t="n">
        <f aca="false">(2*F79*D79^3+(C79-2*F79)*E79^3)/12</f>
        <v>45621333.3333333</v>
      </c>
      <c r="P79" s="1" t="n">
        <f aca="false">IFERROR(SQRT(J79/H79),"")</f>
        <v>198.239759882022</v>
      </c>
      <c r="Q79" s="1" t="n">
        <f aca="false">IFERROR(SQRT(O79/H79),"")</f>
        <v>45.2914886578497</v>
      </c>
    </row>
    <row r="80" customFormat="false" ht="32.25" hidden="false" customHeight="true" outlineLevel="0" collapsed="false">
      <c r="A80" s="74" t="s">
        <v>513</v>
      </c>
      <c r="B80" s="74" t="s">
        <v>409</v>
      </c>
      <c r="C80" s="74" t="n">
        <v>500</v>
      </c>
      <c r="D80" s="74" t="n">
        <v>200</v>
      </c>
      <c r="E80" s="74" t="n">
        <v>25</v>
      </c>
      <c r="F80" s="74" t="n">
        <v>40</v>
      </c>
      <c r="G80" s="74" t="n">
        <v>0</v>
      </c>
      <c r="H80" s="74" t="n">
        <f aca="false">2*D80*F80+(C80-2*F80)*E80</f>
        <v>26500</v>
      </c>
      <c r="I80" s="74" t="n">
        <f aca="false">H80*DB_Settings!$G$5</f>
        <v>208.025</v>
      </c>
      <c r="J80" s="74" t="n">
        <f aca="false">(D80*C80^3-(D80-E80)*(C80-2*F80)^3)/12</f>
        <v>1002883333.33333</v>
      </c>
      <c r="K80" s="74" t="n">
        <f aca="false">J80/(C80/2)</f>
        <v>4011533.33333333</v>
      </c>
      <c r="L80" s="74" t="n">
        <f aca="false">E80*(C80-2*F80)</f>
        <v>10500</v>
      </c>
      <c r="M80" s="77" t="s">
        <v>435</v>
      </c>
      <c r="N80" s="77"/>
      <c r="O80" s="1" t="n">
        <f aca="false">(2*F80*D80^3+(C80-2*F80)*E80^3)/12</f>
        <v>53880208.3333333</v>
      </c>
      <c r="P80" s="1" t="n">
        <f aca="false">IFERROR(SQRT(J80/H80),"")</f>
        <v>194.537024979952</v>
      </c>
      <c r="Q80" s="1" t="n">
        <f aca="false">IFERROR(SQRT(O80/H80),"")</f>
        <v>45.0911899244745</v>
      </c>
    </row>
    <row r="81" customFormat="false" ht="32.25" hidden="false" customHeight="true" outlineLevel="0" collapsed="false">
      <c r="A81" s="74" t="s">
        <v>514</v>
      </c>
      <c r="B81" s="74" t="s">
        <v>409</v>
      </c>
      <c r="C81" s="74" t="n">
        <v>500</v>
      </c>
      <c r="D81" s="74" t="n">
        <v>300</v>
      </c>
      <c r="E81" s="74" t="n">
        <v>11</v>
      </c>
      <c r="F81" s="74" t="n">
        <v>15</v>
      </c>
      <c r="G81" s="74" t="n">
        <v>0</v>
      </c>
      <c r="H81" s="74" t="n">
        <f aca="false">2*D81*F81+(C81-2*F81)*E81</f>
        <v>14170</v>
      </c>
      <c r="I81" s="74" t="n">
        <f aca="false">H81*DB_Settings!$G$5</f>
        <v>111.2345</v>
      </c>
      <c r="J81" s="74" t="n">
        <f aca="false">(D81*C81^3-(D81-E81)*(C81-2*F81)^3)/12</f>
        <v>624596083.333333</v>
      </c>
      <c r="K81" s="74" t="n">
        <f aca="false">J81/(C81/2)</f>
        <v>2498384.33333333</v>
      </c>
      <c r="L81" s="74" t="n">
        <f aca="false">E81*(C81-2*F81)</f>
        <v>5170</v>
      </c>
      <c r="M81" s="77" t="s">
        <v>435</v>
      </c>
      <c r="N81" s="77"/>
      <c r="O81" s="1" t="n">
        <f aca="false">(2*F81*D81^3+(C81-2*F81)*E81^3)/12</f>
        <v>67552130.8333333</v>
      </c>
      <c r="P81" s="1" t="n">
        <f aca="false">IFERROR(SQRT(J81/H81),"")</f>
        <v>209.949431578839</v>
      </c>
      <c r="Q81" s="1" t="n">
        <f aca="false">IFERROR(SQRT(O81/H81),"")</f>
        <v>69.0453763600913</v>
      </c>
    </row>
    <row r="82" customFormat="false" ht="32.25" hidden="false" customHeight="true" outlineLevel="0" collapsed="false">
      <c r="A82" s="74" t="s">
        <v>515</v>
      </c>
      <c r="B82" s="74" t="s">
        <v>409</v>
      </c>
      <c r="C82" s="74" t="n">
        <v>500</v>
      </c>
      <c r="D82" s="74" t="n">
        <v>300</v>
      </c>
      <c r="E82" s="74" t="n">
        <v>11</v>
      </c>
      <c r="F82" s="74" t="n">
        <v>18</v>
      </c>
      <c r="G82" s="74" t="n">
        <v>0</v>
      </c>
      <c r="H82" s="74" t="n">
        <f aca="false">2*D82*F82+(C82-2*F82)*E82</f>
        <v>15904</v>
      </c>
      <c r="I82" s="74" t="n">
        <f aca="false">H82*DB_Settings!$G$5</f>
        <v>124.8464</v>
      </c>
      <c r="J82" s="74" t="n">
        <f aca="false">(D82*C82^3-(D82-E82)*(C82-2*F82)^3)/12</f>
        <v>719138965.333333</v>
      </c>
      <c r="K82" s="74" t="n">
        <f aca="false">J82/(C82/2)</f>
        <v>2876555.86133333</v>
      </c>
      <c r="L82" s="74" t="n">
        <f aca="false">E82*(C82-2*F82)</f>
        <v>5104</v>
      </c>
      <c r="M82" s="77" t="s">
        <v>435</v>
      </c>
      <c r="N82" s="77"/>
      <c r="O82" s="1" t="n">
        <f aca="false">(2*F82*D82^3+(C82-2*F82)*E82^3)/12</f>
        <v>81051465.3333333</v>
      </c>
      <c r="P82" s="1" t="n">
        <f aca="false">IFERROR(SQRT(J82/H82),"")</f>
        <v>212.64404594294</v>
      </c>
      <c r="Q82" s="1" t="n">
        <f aca="false">IFERROR(SQRT(O82/H82),"")</f>
        <v>71.3883348274066</v>
      </c>
    </row>
    <row r="83" customFormat="false" ht="32.25" hidden="false" customHeight="true" outlineLevel="0" collapsed="false">
      <c r="A83" s="74" t="s">
        <v>516</v>
      </c>
      <c r="B83" s="74" t="s">
        <v>409</v>
      </c>
      <c r="C83" s="74" t="n">
        <v>500</v>
      </c>
      <c r="D83" s="74" t="n">
        <v>300</v>
      </c>
      <c r="E83" s="74" t="n">
        <v>13</v>
      </c>
      <c r="F83" s="74" t="n">
        <v>21</v>
      </c>
      <c r="G83" s="74" t="n">
        <v>0</v>
      </c>
      <c r="H83" s="74" t="n">
        <f aca="false">2*D83*F83+(C83-2*F83)*E83</f>
        <v>18554</v>
      </c>
      <c r="I83" s="74" t="n">
        <f aca="false">H83*DB_Settings!$G$5</f>
        <v>145.6489</v>
      </c>
      <c r="J83" s="74" t="n">
        <f aca="false">(D83*C83^3-(D83-E83)*(C83-2*F83)^3)/12</f>
        <v>827280104.666667</v>
      </c>
      <c r="K83" s="74" t="n">
        <f aca="false">J83/(C83/2)</f>
        <v>3309120.41866667</v>
      </c>
      <c r="L83" s="74" t="n">
        <f aca="false">E83*(C83-2*F83)</f>
        <v>5954</v>
      </c>
      <c r="M83" s="77" t="s">
        <v>435</v>
      </c>
      <c r="N83" s="77"/>
      <c r="O83" s="1" t="n">
        <f aca="false">(2*F83*D83^3+(C83-2*F83)*E83^3)/12</f>
        <v>94583852.1666667</v>
      </c>
      <c r="P83" s="1" t="n">
        <f aca="false">IFERROR(SQRT(J83/H83),"")</f>
        <v>211.157987362966</v>
      </c>
      <c r="Q83" s="1" t="n">
        <f aca="false">IFERROR(SQRT(O83/H83),"")</f>
        <v>71.3986043805091</v>
      </c>
    </row>
    <row r="84" customFormat="false" ht="32.25" hidden="false" customHeight="true" outlineLevel="0" collapsed="false">
      <c r="A84" s="74" t="s">
        <v>517</v>
      </c>
      <c r="B84" s="74" t="s">
        <v>409</v>
      </c>
      <c r="C84" s="74" t="n">
        <v>500</v>
      </c>
      <c r="D84" s="74" t="n">
        <v>300</v>
      </c>
      <c r="E84" s="74" t="n">
        <v>15</v>
      </c>
      <c r="F84" s="74" t="n">
        <v>24</v>
      </c>
      <c r="G84" s="74" t="n">
        <v>0</v>
      </c>
      <c r="H84" s="74" t="n">
        <f aca="false">2*D84*F84+(C84-2*F84)*E84</f>
        <v>21180</v>
      </c>
      <c r="I84" s="74" t="n">
        <f aca="false">H84*DB_Settings!$G$5</f>
        <v>166.263</v>
      </c>
      <c r="J84" s="74" t="n">
        <f aca="false">(D84*C84^3-(D84-E84)*(C84-2*F84)^3)/12</f>
        <v>931796560</v>
      </c>
      <c r="K84" s="74" t="n">
        <f aca="false">J84/(C84/2)</f>
        <v>3727186.24</v>
      </c>
      <c r="L84" s="74" t="n">
        <f aca="false">E84*(C84-2*F84)</f>
        <v>6780</v>
      </c>
      <c r="M84" s="77" t="s">
        <v>435</v>
      </c>
      <c r="N84" s="77"/>
      <c r="O84" s="1" t="n">
        <f aca="false">(2*F84*D84^3+(C84-2*F84)*E84^3)/12</f>
        <v>108127125</v>
      </c>
      <c r="P84" s="1" t="n">
        <f aca="false">IFERROR(SQRT(J84/H84),"")</f>
        <v>209.747876890913</v>
      </c>
      <c r="Q84" s="1" t="n">
        <f aca="false">IFERROR(SQRT(O84/H84),"")</f>
        <v>71.4503482586961</v>
      </c>
    </row>
    <row r="85" customFormat="false" ht="32.25" hidden="false" customHeight="true" outlineLevel="0" collapsed="false">
      <c r="A85" s="74" t="s">
        <v>518</v>
      </c>
      <c r="B85" s="74" t="s">
        <v>409</v>
      </c>
      <c r="C85" s="74" t="n">
        <v>500</v>
      </c>
      <c r="D85" s="74" t="n">
        <v>300</v>
      </c>
      <c r="E85" s="74" t="n">
        <v>17</v>
      </c>
      <c r="F85" s="74" t="n">
        <v>29</v>
      </c>
      <c r="G85" s="74" t="n">
        <v>0</v>
      </c>
      <c r="H85" s="74" t="n">
        <f aca="false">2*D85*F85+(C85-2*F85)*E85</f>
        <v>24914</v>
      </c>
      <c r="I85" s="74" t="n">
        <f aca="false">H85*DB_Settings!$G$5</f>
        <v>195.5749</v>
      </c>
      <c r="J85" s="74" t="n">
        <f aca="false">(D85*C85^3-(D85-E85)*(C85-2*F85)^3)/12</f>
        <v>1088558224.66667</v>
      </c>
      <c r="K85" s="74" t="n">
        <f aca="false">J85/(C85/2)</f>
        <v>4354232.89866667</v>
      </c>
      <c r="L85" s="74" t="n">
        <f aca="false">E85*(C85-2*F85)</f>
        <v>7514</v>
      </c>
      <c r="M85" s="77" t="s">
        <v>435</v>
      </c>
      <c r="N85" s="77"/>
      <c r="O85" s="1" t="n">
        <f aca="false">(2*F85*D85^3+(C85-2*F85)*E85^3)/12</f>
        <v>130680962.166667</v>
      </c>
      <c r="P85" s="1" t="n">
        <f aca="false">IFERROR(SQRT(J85/H85),"")</f>
        <v>209.02782503654</v>
      </c>
      <c r="Q85" s="1" t="n">
        <f aca="false">IFERROR(SQRT(O85/H85),"")</f>
        <v>72.4243208986658</v>
      </c>
    </row>
    <row r="86" customFormat="false" ht="32.25" hidden="false" customHeight="true" outlineLevel="0" collapsed="false">
      <c r="A86" s="74" t="s">
        <v>519</v>
      </c>
      <c r="B86" s="74" t="s">
        <v>409</v>
      </c>
      <c r="C86" s="74" t="n">
        <v>500</v>
      </c>
      <c r="D86" s="74" t="n">
        <v>300</v>
      </c>
      <c r="E86" s="74" t="n">
        <v>21</v>
      </c>
      <c r="F86" s="74" t="n">
        <v>33</v>
      </c>
      <c r="G86" s="74" t="n">
        <v>0</v>
      </c>
      <c r="H86" s="74" t="n">
        <f aca="false">2*D86*F86+(C86-2*F86)*E86</f>
        <v>28914</v>
      </c>
      <c r="I86" s="74" t="n">
        <f aca="false">H86*DB_Settings!$G$5</f>
        <v>226.9749</v>
      </c>
      <c r="J86" s="74" t="n">
        <f aca="false">(D86*C86^3-(D86-E86)*(C86-2*F86)^3)/12</f>
        <v>1224393782</v>
      </c>
      <c r="K86" s="74" t="n">
        <f aca="false">J86/(C86/2)</f>
        <v>4897575.128</v>
      </c>
      <c r="L86" s="74" t="n">
        <f aca="false">E86*(C86-2*F86)</f>
        <v>9114</v>
      </c>
      <c r="M86" s="77" t="s">
        <v>435</v>
      </c>
      <c r="N86" s="77"/>
      <c r="O86" s="1" t="n">
        <f aca="false">(2*F86*D86^3+(C86-2*F86)*E86^3)/12</f>
        <v>148834939.5</v>
      </c>
      <c r="P86" s="1" t="n">
        <f aca="false">IFERROR(SQRT(J86/H86),"")</f>
        <v>205.781566696887</v>
      </c>
      <c r="Q86" s="1" t="n">
        <f aca="false">IFERROR(SQRT(O86/H86),"")</f>
        <v>71.7461100400056</v>
      </c>
    </row>
    <row r="87" customFormat="false" ht="32.25" hidden="false" customHeight="true" outlineLevel="0" collapsed="false">
      <c r="A87" s="74" t="s">
        <v>520</v>
      </c>
      <c r="B87" s="74" t="s">
        <v>409</v>
      </c>
      <c r="C87" s="74" t="n">
        <v>500</v>
      </c>
      <c r="D87" s="74" t="n">
        <v>300</v>
      </c>
      <c r="E87" s="74" t="n">
        <v>25</v>
      </c>
      <c r="F87" s="74" t="n">
        <v>40</v>
      </c>
      <c r="G87" s="74" t="n">
        <v>0</v>
      </c>
      <c r="H87" s="74" t="n">
        <f aca="false">2*D87*F87+(C87-2*F87)*E87</f>
        <v>34500</v>
      </c>
      <c r="I87" s="74" t="n">
        <f aca="false">H87*DB_Settings!$G$5</f>
        <v>270.825</v>
      </c>
      <c r="J87" s="74" t="n">
        <f aca="false">(D87*C87^3-(D87-E87)*(C87-2*F87)^3)/12</f>
        <v>1427150000</v>
      </c>
      <c r="K87" s="74" t="n">
        <f aca="false">J87/(C87/2)</f>
        <v>5708600</v>
      </c>
      <c r="L87" s="74" t="n">
        <f aca="false">E87*(C87-2*F87)</f>
        <v>10500</v>
      </c>
      <c r="M87" s="77" t="s">
        <v>435</v>
      </c>
      <c r="N87" s="77"/>
      <c r="O87" s="1" t="n">
        <f aca="false">(2*F87*D87^3+(C87-2*F87)*E87^3)/12</f>
        <v>180546875</v>
      </c>
      <c r="P87" s="1" t="n">
        <f aca="false">IFERROR(SQRT(J87/H87),"")</f>
        <v>203.387970801291</v>
      </c>
      <c r="Q87" s="1" t="n">
        <f aca="false">IFERROR(SQRT(O87/H87),"")</f>
        <v>72.3411553240836</v>
      </c>
    </row>
    <row r="88" customFormat="false" ht="32.25" hidden="false" customHeight="true" outlineLevel="0" collapsed="false">
      <c r="A88" s="74" t="s">
        <v>521</v>
      </c>
      <c r="B88" s="74" t="s">
        <v>409</v>
      </c>
      <c r="C88" s="74" t="n">
        <v>500</v>
      </c>
      <c r="D88" s="74" t="n">
        <v>500</v>
      </c>
      <c r="E88" s="74" t="n">
        <v>15</v>
      </c>
      <c r="F88" s="74" t="n">
        <v>20</v>
      </c>
      <c r="G88" s="74" t="n">
        <v>0</v>
      </c>
      <c r="H88" s="74" t="n">
        <f aca="false">2*D88*F88+(C88-2*F88)*E88</f>
        <v>26900</v>
      </c>
      <c r="I88" s="74" t="n">
        <f aca="false">H88*DB_Settings!$G$5</f>
        <v>211.165</v>
      </c>
      <c r="J88" s="74" t="n">
        <f aca="false">(D88*C88^3-(D88-E88)*(C88-2*F88)^3)/12</f>
        <v>1274336666.66667</v>
      </c>
      <c r="K88" s="74" t="n">
        <f aca="false">J88/(C88/2)</f>
        <v>5097346.66666667</v>
      </c>
      <c r="L88" s="74" t="n">
        <f aca="false">E88*(C88-2*F88)</f>
        <v>6900</v>
      </c>
      <c r="M88" s="77" t="s">
        <v>435</v>
      </c>
      <c r="N88" s="77"/>
      <c r="O88" s="1" t="n">
        <f aca="false">(2*F88*D88^3+(C88-2*F88)*E88^3)/12</f>
        <v>416796041.666667</v>
      </c>
      <c r="P88" s="1" t="n">
        <f aca="false">IFERROR(SQRT(J88/H88),"")</f>
        <v>217.653647534348</v>
      </c>
      <c r="Q88" s="1" t="n">
        <f aca="false">IFERROR(SQRT(O88/H88),"")</f>
        <v>124.47600829832</v>
      </c>
    </row>
    <row r="89" customFormat="false" ht="32.25" hidden="false" customHeight="true" outlineLevel="0" collapsed="false">
      <c r="A89" s="74" t="s">
        <v>522</v>
      </c>
      <c r="B89" s="74" t="s">
        <v>409</v>
      </c>
      <c r="C89" s="74" t="n">
        <v>500</v>
      </c>
      <c r="D89" s="74" t="n">
        <v>500</v>
      </c>
      <c r="E89" s="74" t="n">
        <v>15</v>
      </c>
      <c r="F89" s="74" t="n">
        <v>25</v>
      </c>
      <c r="G89" s="74" t="n">
        <v>0</v>
      </c>
      <c r="H89" s="74" t="n">
        <f aca="false">2*D89*F89+(C89-2*F89)*E89</f>
        <v>31750</v>
      </c>
      <c r="I89" s="74" t="n">
        <f aca="false">H89*DB_Settings!$G$5</f>
        <v>249.2375</v>
      </c>
      <c r="J89" s="74" t="n">
        <f aca="false">(D89*C89^3-(D89-E89)*(C89-2*F89)^3)/12</f>
        <v>1525364583.33333</v>
      </c>
      <c r="K89" s="74" t="n">
        <f aca="false">J89/(C89/2)</f>
        <v>6101458.33333333</v>
      </c>
      <c r="L89" s="74" t="n">
        <f aca="false">E89*(C89-2*F89)</f>
        <v>6750</v>
      </c>
      <c r="M89" s="77" t="s">
        <v>435</v>
      </c>
      <c r="N89" s="77"/>
      <c r="O89" s="1" t="n">
        <f aca="false">(2*F89*D89^3+(C89-2*F89)*E89^3)/12</f>
        <v>520959895.833333</v>
      </c>
      <c r="P89" s="1" t="n">
        <f aca="false">IFERROR(SQRT(J89/H89),"")</f>
        <v>219.187086760659</v>
      </c>
      <c r="Q89" s="1" t="n">
        <f aca="false">IFERROR(SQRT(O89/H89),"")</f>
        <v>128.094440533296</v>
      </c>
    </row>
    <row r="90" customFormat="false" ht="32.25" hidden="false" customHeight="true" outlineLevel="0" collapsed="false">
      <c r="A90" s="74" t="s">
        <v>523</v>
      </c>
      <c r="B90" s="74" t="s">
        <v>409</v>
      </c>
      <c r="C90" s="74" t="n">
        <v>500</v>
      </c>
      <c r="D90" s="74" t="n">
        <v>500</v>
      </c>
      <c r="E90" s="74" t="n">
        <v>20</v>
      </c>
      <c r="F90" s="74" t="n">
        <v>25</v>
      </c>
      <c r="G90" s="74" t="n">
        <v>0</v>
      </c>
      <c r="H90" s="74" t="n">
        <f aca="false">2*D90*F90+(C90-2*F90)*E90</f>
        <v>34000</v>
      </c>
      <c r="I90" s="74" t="n">
        <f aca="false">H90*DB_Settings!$G$5</f>
        <v>266.9</v>
      </c>
      <c r="J90" s="74" t="n">
        <f aca="false">(D90*C90^3-(D90-E90)*(C90-2*F90)^3)/12</f>
        <v>1563333333.33333</v>
      </c>
      <c r="K90" s="74" t="n">
        <f aca="false">J90/(C90/2)</f>
        <v>6253333.33333333</v>
      </c>
      <c r="L90" s="74" t="n">
        <f aca="false">E90*(C90-2*F90)</f>
        <v>9000</v>
      </c>
      <c r="M90" s="77" t="s">
        <v>435</v>
      </c>
      <c r="N90" s="77"/>
      <c r="O90" s="1" t="n">
        <f aca="false">(2*F90*D90^3+(C90-2*F90)*E90^3)/12</f>
        <v>521133333.333333</v>
      </c>
      <c r="P90" s="1" t="n">
        <f aca="false">IFERROR(SQRT(J90/H90),"")</f>
        <v>214.430390003056</v>
      </c>
      <c r="Q90" s="1" t="n">
        <f aca="false">IFERROR(SQRT(O90/H90),"")</f>
        <v>123.804083052184</v>
      </c>
    </row>
    <row r="91" customFormat="false" ht="32.25" hidden="false" customHeight="true" outlineLevel="0" collapsed="false">
      <c r="A91" s="74" t="s">
        <v>524</v>
      </c>
      <c r="B91" s="74" t="s">
        <v>409</v>
      </c>
      <c r="C91" s="74" t="n">
        <v>500</v>
      </c>
      <c r="D91" s="74" t="n">
        <v>500</v>
      </c>
      <c r="E91" s="74" t="n">
        <v>25</v>
      </c>
      <c r="F91" s="74" t="n">
        <v>25</v>
      </c>
      <c r="G91" s="74" t="n">
        <v>0</v>
      </c>
      <c r="H91" s="74" t="n">
        <f aca="false">2*D91*F91+(C91-2*F91)*E91</f>
        <v>36250</v>
      </c>
      <c r="I91" s="74" t="n">
        <f aca="false">H91*DB_Settings!$G$5</f>
        <v>284.5625</v>
      </c>
      <c r="J91" s="74" t="n">
        <f aca="false">(D91*C91^3-(D91-E91)*(C91-2*F91)^3)/12</f>
        <v>1601302083.33333</v>
      </c>
      <c r="K91" s="74" t="n">
        <f aca="false">J91/(C91/2)</f>
        <v>6405208.33333333</v>
      </c>
      <c r="L91" s="74" t="n">
        <f aca="false">E91*(C91-2*F91)</f>
        <v>11250</v>
      </c>
      <c r="M91" s="77" t="s">
        <v>435</v>
      </c>
      <c r="N91" s="77"/>
      <c r="O91" s="1" t="n">
        <f aca="false">(2*F91*D91^3+(C91-2*F91)*E91^3)/12</f>
        <v>521419270.833333</v>
      </c>
      <c r="P91" s="1" t="n">
        <f aca="false">IFERROR(SQRT(J91/H91),"")</f>
        <v>210.17576114936</v>
      </c>
      <c r="Q91" s="1" t="n">
        <f aca="false">IFERROR(SQRT(O91/H91),"")</f>
        <v>119.933230945629</v>
      </c>
    </row>
    <row r="92" customFormat="false" ht="32.25" hidden="false" customHeight="true" outlineLevel="0" collapsed="false">
      <c r="A92" s="74" t="s">
        <v>525</v>
      </c>
      <c r="B92" s="74" t="s">
        <v>409</v>
      </c>
      <c r="C92" s="74" t="n">
        <v>600</v>
      </c>
      <c r="D92" s="74" t="n">
        <v>200</v>
      </c>
      <c r="E92" s="74" t="n">
        <v>10</v>
      </c>
      <c r="F92" s="74" t="n">
        <v>15</v>
      </c>
      <c r="G92" s="74" t="n">
        <v>0</v>
      </c>
      <c r="H92" s="74" t="n">
        <f aca="false">2*D92*F92+(C92-2*F92)*E92</f>
        <v>11700</v>
      </c>
      <c r="I92" s="74" t="n">
        <f aca="false">H92*DB_Settings!$G$5</f>
        <v>91.845</v>
      </c>
      <c r="J92" s="74" t="n">
        <f aca="false">(D92*C92^3-(D92-E92)*(C92-2*F92)^3)/12</f>
        <v>667777500</v>
      </c>
      <c r="K92" s="74" t="n">
        <f aca="false">J92/(C92/2)</f>
        <v>2225925</v>
      </c>
      <c r="L92" s="74" t="n">
        <f aca="false">E92*(C92-2*F92)</f>
        <v>5700</v>
      </c>
      <c r="M92" s="77" t="s">
        <v>435</v>
      </c>
      <c r="N92" s="77"/>
      <c r="O92" s="1" t="n">
        <f aca="false">(2*F92*D92^3+(C92-2*F92)*E92^3)/12</f>
        <v>20047500</v>
      </c>
      <c r="P92" s="1" t="n">
        <f aca="false">IFERROR(SQRT(J92/H92),"")</f>
        <v>238.903746308006</v>
      </c>
      <c r="Q92" s="1" t="n">
        <f aca="false">IFERROR(SQRT(O92/H92),"")</f>
        <v>41.393979495351</v>
      </c>
    </row>
    <row r="93" customFormat="false" ht="32.25" hidden="false" customHeight="true" outlineLevel="0" collapsed="false">
      <c r="A93" s="74" t="s">
        <v>526</v>
      </c>
      <c r="B93" s="74" t="s">
        <v>409</v>
      </c>
      <c r="C93" s="74" t="n">
        <v>600</v>
      </c>
      <c r="D93" s="74" t="n">
        <v>200</v>
      </c>
      <c r="E93" s="74" t="n">
        <v>11</v>
      </c>
      <c r="F93" s="74" t="n">
        <v>17</v>
      </c>
      <c r="G93" s="74" t="n">
        <v>0</v>
      </c>
      <c r="H93" s="74" t="n">
        <f aca="false">2*D93*F93+(C93-2*F93)*E93</f>
        <v>13026</v>
      </c>
      <c r="I93" s="74" t="n">
        <f aca="false">H93*DB_Settings!$G$5</f>
        <v>102.2541</v>
      </c>
      <c r="J93" s="74" t="n">
        <f aca="false">(D93*C93^3-(D93-E93)*(C93-2*F93)^3)/12</f>
        <v>744186438</v>
      </c>
      <c r="K93" s="74" t="n">
        <f aca="false">J93/(C93/2)</f>
        <v>2480621.46</v>
      </c>
      <c r="L93" s="74" t="n">
        <f aca="false">E93*(C93-2*F93)</f>
        <v>6226</v>
      </c>
      <c r="M93" s="77" t="s">
        <v>435</v>
      </c>
      <c r="N93" s="77"/>
      <c r="O93" s="1" t="n">
        <f aca="false">(2*F93*D93^3+(C93-2*F93)*E93^3)/12</f>
        <v>22729445.5</v>
      </c>
      <c r="P93" s="1" t="n">
        <f aca="false">IFERROR(SQRT(J93/H93),"")</f>
        <v>239.020603541932</v>
      </c>
      <c r="Q93" s="1" t="n">
        <f aca="false">IFERROR(SQRT(O93/H93),"")</f>
        <v>41.7723476304871</v>
      </c>
    </row>
    <row r="94" customFormat="false" ht="32.25" hidden="false" customHeight="true" outlineLevel="0" collapsed="false">
      <c r="A94" s="74" t="s">
        <v>527</v>
      </c>
      <c r="B94" s="74" t="s">
        <v>409</v>
      </c>
      <c r="C94" s="74" t="n">
        <v>600</v>
      </c>
      <c r="D94" s="74" t="n">
        <v>200</v>
      </c>
      <c r="E94" s="74" t="n">
        <v>12</v>
      </c>
      <c r="F94" s="74" t="n">
        <v>20</v>
      </c>
      <c r="G94" s="74" t="n">
        <v>0</v>
      </c>
      <c r="H94" s="74" t="n">
        <f aca="false">2*D94*F94+(C94-2*F94)*E94</f>
        <v>14720</v>
      </c>
      <c r="I94" s="74" t="n">
        <f aca="false">H94*DB_Settings!$G$5</f>
        <v>115.552</v>
      </c>
      <c r="J94" s="74" t="n">
        <f aca="false">(D94*C94^3-(D94-E94)*(C94-2*F94)^3)/12</f>
        <v>848682666.666667</v>
      </c>
      <c r="K94" s="74" t="n">
        <f aca="false">J94/(C94/2)</f>
        <v>2828942.22222222</v>
      </c>
      <c r="L94" s="74" t="n">
        <f aca="false">E94*(C94-2*F94)</f>
        <v>6720</v>
      </c>
      <c r="M94" s="77" t="s">
        <v>435</v>
      </c>
      <c r="N94" s="77"/>
      <c r="O94" s="1" t="n">
        <f aca="false">(2*F94*D94^3+(C94-2*F94)*E94^3)/12</f>
        <v>26747306.6666667</v>
      </c>
      <c r="P94" s="1" t="n">
        <f aca="false">IFERROR(SQRT(J94/H94),"")</f>
        <v>240.114706887704</v>
      </c>
      <c r="Q94" s="1" t="n">
        <f aca="false">IFERROR(SQRT(O94/H94),"")</f>
        <v>42.6271329527112</v>
      </c>
    </row>
    <row r="95" customFormat="false" ht="32.25" hidden="false" customHeight="true" outlineLevel="0" collapsed="false">
      <c r="A95" s="74" t="s">
        <v>528</v>
      </c>
      <c r="B95" s="74" t="s">
        <v>409</v>
      </c>
      <c r="C95" s="74" t="n">
        <v>600</v>
      </c>
      <c r="D95" s="74" t="n">
        <v>200</v>
      </c>
      <c r="E95" s="74" t="n">
        <v>13</v>
      </c>
      <c r="F95" s="74" t="n">
        <v>23</v>
      </c>
      <c r="G95" s="74" t="n">
        <v>0</v>
      </c>
      <c r="H95" s="74" t="n">
        <f aca="false">2*D95*F95+(C95-2*F95)*E95</f>
        <v>16402</v>
      </c>
      <c r="I95" s="74" t="n">
        <f aca="false">H95*DB_Settings!$G$5</f>
        <v>128.7557</v>
      </c>
      <c r="J95" s="74" t="n">
        <f aca="false">(D95*C95^3-(D95-E95)*(C95-2*F95)^3)/12</f>
        <v>950343019.333333</v>
      </c>
      <c r="K95" s="74" t="n">
        <f aca="false">J95/(C95/2)</f>
        <v>3167810.06444444</v>
      </c>
      <c r="L95" s="74" t="n">
        <f aca="false">E95*(C95-2*F95)</f>
        <v>7202</v>
      </c>
      <c r="M95" s="77" t="s">
        <v>435</v>
      </c>
      <c r="N95" s="77"/>
      <c r="O95" s="1" t="n">
        <f aca="false">(2*F95*D95^3+(C95-2*F95)*E95^3)/12</f>
        <v>30768094.8333333</v>
      </c>
      <c r="P95" s="1" t="n">
        <f aca="false">IFERROR(SQRT(J95/H95),"")</f>
        <v>240.7087018469</v>
      </c>
      <c r="Q95" s="1" t="n">
        <f aca="false">IFERROR(SQRT(O95/H95),"")</f>
        <v>43.3113677722542</v>
      </c>
    </row>
    <row r="96" customFormat="false" ht="32.25" hidden="false" customHeight="true" outlineLevel="0" collapsed="false">
      <c r="A96" s="74" t="s">
        <v>529</v>
      </c>
      <c r="B96" s="74" t="s">
        <v>409</v>
      </c>
      <c r="C96" s="74" t="n">
        <v>600</v>
      </c>
      <c r="D96" s="74" t="n">
        <v>200</v>
      </c>
      <c r="E96" s="74" t="n">
        <v>16</v>
      </c>
      <c r="F96" s="74" t="n">
        <v>26</v>
      </c>
      <c r="G96" s="74" t="n">
        <v>0</v>
      </c>
      <c r="H96" s="74" t="n">
        <f aca="false">2*D96*F96+(C96-2*F96)*E96</f>
        <v>19168</v>
      </c>
      <c r="I96" s="74" t="n">
        <f aca="false">H96*DB_Settings!$G$5</f>
        <v>150.4688</v>
      </c>
      <c r="J96" s="74" t="n">
        <f aca="false">(D96*C96^3-(D96-E96)*(C96-2*F96)^3)/12</f>
        <v>1076645589.33333</v>
      </c>
      <c r="K96" s="74" t="n">
        <f aca="false">J96/(C96/2)</f>
        <v>3588818.63111111</v>
      </c>
      <c r="L96" s="74" t="n">
        <f aca="false">E96*(C96-2*F96)</f>
        <v>8768</v>
      </c>
      <c r="M96" s="77" t="s">
        <v>435</v>
      </c>
      <c r="N96" s="77"/>
      <c r="O96" s="1" t="n">
        <f aca="false">(2*F96*D96^3+(C96-2*F96)*E96^3)/12</f>
        <v>34853717.3333333</v>
      </c>
      <c r="P96" s="1" t="n">
        <f aca="false">IFERROR(SQRT(J96/H96),"")</f>
        <v>236.999801591411</v>
      </c>
      <c r="Q96" s="1" t="n">
        <f aca="false">IFERROR(SQRT(O96/H96),"")</f>
        <v>42.6418611810752</v>
      </c>
    </row>
    <row r="97" customFormat="false" ht="32.25" hidden="false" customHeight="true" outlineLevel="0" collapsed="false">
      <c r="A97" s="74" t="s">
        <v>530</v>
      </c>
      <c r="B97" s="74" t="s">
        <v>409</v>
      </c>
      <c r="C97" s="74" t="n">
        <v>600</v>
      </c>
      <c r="D97" s="74" t="n">
        <v>200</v>
      </c>
      <c r="E97" s="74" t="n">
        <v>18</v>
      </c>
      <c r="F97" s="74" t="n">
        <v>30</v>
      </c>
      <c r="G97" s="74" t="n">
        <v>0</v>
      </c>
      <c r="H97" s="74" t="n">
        <f aca="false">2*D97*F97+(C97-2*F97)*E97</f>
        <v>21720</v>
      </c>
      <c r="I97" s="74" t="n">
        <f aca="false">H97*DB_Settings!$G$5</f>
        <v>170.502</v>
      </c>
      <c r="J97" s="74" t="n">
        <f aca="false">(D97*C97^3-(D97-E97)*(C97-2*F97)^3)/12</f>
        <v>1211796000</v>
      </c>
      <c r="K97" s="74" t="n">
        <f aca="false">J97/(C97/2)</f>
        <v>4039320</v>
      </c>
      <c r="L97" s="74" t="n">
        <f aca="false">E97*(C97-2*F97)</f>
        <v>9720</v>
      </c>
      <c r="M97" s="77" t="s">
        <v>435</v>
      </c>
      <c r="N97" s="77"/>
      <c r="O97" s="1" t="n">
        <f aca="false">(2*F97*D97^3+(C97-2*F97)*E97^3)/12</f>
        <v>40262440</v>
      </c>
      <c r="P97" s="1" t="n">
        <f aca="false">IFERROR(SQRT(J97/H97),"")</f>
        <v>236.202694114996</v>
      </c>
      <c r="Q97" s="1" t="n">
        <f aca="false">IFERROR(SQRT(O97/H97),"")</f>
        <v>43.0546571125493</v>
      </c>
    </row>
    <row r="98" customFormat="false" ht="32.25" hidden="false" customHeight="true" outlineLevel="0" collapsed="false">
      <c r="A98" s="74" t="s">
        <v>531</v>
      </c>
      <c r="B98" s="74" t="s">
        <v>409</v>
      </c>
      <c r="C98" s="74" t="n">
        <v>600</v>
      </c>
      <c r="D98" s="74" t="n">
        <v>200</v>
      </c>
      <c r="E98" s="74" t="n">
        <v>20</v>
      </c>
      <c r="F98" s="74" t="n">
        <v>34</v>
      </c>
      <c r="G98" s="74" t="n">
        <v>0</v>
      </c>
      <c r="H98" s="74" t="n">
        <f aca="false">2*D98*F98+(C98-2*F98)*E98</f>
        <v>24240</v>
      </c>
      <c r="I98" s="74" t="n">
        <f aca="false">H98*DB_Settings!$G$5</f>
        <v>190.284</v>
      </c>
      <c r="J98" s="74" t="n">
        <f aca="false">(D98*C98^3-(D98-E98)*(C98-2*F98)^3)/12</f>
        <v>1341468480</v>
      </c>
      <c r="K98" s="74" t="n">
        <f aca="false">J98/(C98/2)</f>
        <v>4471561.6</v>
      </c>
      <c r="L98" s="74" t="n">
        <f aca="false">E98*(C98-2*F98)</f>
        <v>10640</v>
      </c>
      <c r="M98" s="77" t="s">
        <v>435</v>
      </c>
      <c r="N98" s="77"/>
      <c r="O98" s="1" t="n">
        <f aca="false">(2*F98*D98^3+(C98-2*F98)*E98^3)/12</f>
        <v>45688000</v>
      </c>
      <c r="P98" s="1" t="n">
        <f aca="false">IFERROR(SQRT(J98/H98),"")</f>
        <v>235.246910523584</v>
      </c>
      <c r="Q98" s="1" t="n">
        <f aca="false">IFERROR(SQRT(O98/H98),"")</f>
        <v>43.4144962178324</v>
      </c>
    </row>
    <row r="99" customFormat="false" ht="32.25" hidden="false" customHeight="true" outlineLevel="0" collapsed="false">
      <c r="A99" s="74" t="s">
        <v>532</v>
      </c>
      <c r="B99" s="74" t="s">
        <v>409</v>
      </c>
      <c r="C99" s="74" t="n">
        <v>600</v>
      </c>
      <c r="D99" s="74" t="n">
        <v>200</v>
      </c>
      <c r="E99" s="74" t="n">
        <v>25</v>
      </c>
      <c r="F99" s="74" t="n">
        <v>40</v>
      </c>
      <c r="G99" s="74" t="n">
        <v>0</v>
      </c>
      <c r="H99" s="74" t="n">
        <f aca="false">2*D99*F99+(C99-2*F99)*E99</f>
        <v>29000</v>
      </c>
      <c r="I99" s="74" t="n">
        <f aca="false">H99*DB_Settings!$G$5</f>
        <v>227.65</v>
      </c>
      <c r="J99" s="74" t="n">
        <f aca="false">(D99*C99^3-(D99-E99)*(C99-2*F99)^3)/12</f>
        <v>1549466666.66667</v>
      </c>
      <c r="K99" s="74" t="n">
        <f aca="false">J99/(C99/2)</f>
        <v>5164888.88888889</v>
      </c>
      <c r="L99" s="74" t="n">
        <f aca="false">E99*(C99-2*F99)</f>
        <v>13000</v>
      </c>
      <c r="M99" s="77" t="s">
        <v>435</v>
      </c>
      <c r="N99" s="77"/>
      <c r="O99" s="1" t="n">
        <f aca="false">(2*F99*D99^3+(C99-2*F99)*E99^3)/12</f>
        <v>54010416.6666667</v>
      </c>
      <c r="P99" s="1" t="n">
        <f aca="false">IFERROR(SQRT(J99/H99),"")</f>
        <v>231.149053767199</v>
      </c>
      <c r="Q99" s="1" t="n">
        <f aca="false">IFERROR(SQRT(O99/H99),"")</f>
        <v>43.1558589408152</v>
      </c>
    </row>
    <row r="100" customFormat="false" ht="32.25" hidden="false" customHeight="true" outlineLevel="0" collapsed="false">
      <c r="A100" s="74" t="s">
        <v>533</v>
      </c>
      <c r="B100" s="74" t="s">
        <v>409</v>
      </c>
      <c r="C100" s="74" t="n">
        <v>600</v>
      </c>
      <c r="D100" s="74" t="n">
        <v>300</v>
      </c>
      <c r="E100" s="74" t="n">
        <v>12</v>
      </c>
      <c r="F100" s="74" t="n">
        <v>17</v>
      </c>
      <c r="G100" s="74" t="n">
        <v>0</v>
      </c>
      <c r="H100" s="74" t="n">
        <f aca="false">2*D100*F100+(C100-2*F100)*E100</f>
        <v>16992</v>
      </c>
      <c r="I100" s="74" t="n">
        <f aca="false">H100*DB_Settings!$G$5</f>
        <v>133.3872</v>
      </c>
      <c r="J100" s="74" t="n">
        <f aca="false">(D100*C100^3-(D100-E100)*(C100-2*F100)^3)/12</f>
        <v>1048284096</v>
      </c>
      <c r="K100" s="74" t="n">
        <f aca="false">J100/(C100/2)</f>
        <v>3494280.32</v>
      </c>
      <c r="L100" s="74" t="n">
        <f aca="false">E100*(C100-2*F100)</f>
        <v>6792</v>
      </c>
      <c r="M100" s="77" t="s">
        <v>435</v>
      </c>
      <c r="N100" s="77"/>
      <c r="O100" s="1" t="n">
        <f aca="false">(2*F100*D100^3+(C100-2*F100)*E100^3)/12</f>
        <v>76581504</v>
      </c>
      <c r="P100" s="1" t="n">
        <f aca="false">IFERROR(SQRT(J100/H100),"")</f>
        <v>248.380358039614</v>
      </c>
      <c r="Q100" s="1" t="n">
        <f aca="false">IFERROR(SQRT(O100/H100),"")</f>
        <v>67.1335628001173</v>
      </c>
    </row>
    <row r="101" customFormat="false" ht="32.25" hidden="false" customHeight="true" outlineLevel="0" collapsed="false">
      <c r="A101" s="74" t="s">
        <v>534</v>
      </c>
      <c r="B101" s="74" t="s">
        <v>409</v>
      </c>
      <c r="C101" s="74" t="n">
        <v>600</v>
      </c>
      <c r="D101" s="74" t="n">
        <v>300</v>
      </c>
      <c r="E101" s="74" t="n">
        <v>12</v>
      </c>
      <c r="F101" s="74" t="n">
        <v>20</v>
      </c>
      <c r="G101" s="74" t="n">
        <v>0</v>
      </c>
      <c r="H101" s="74" t="n">
        <f aca="false">2*D101*F101+(C101-2*F101)*E101</f>
        <v>18720</v>
      </c>
      <c r="I101" s="74" t="n">
        <f aca="false">H101*DB_Settings!$G$5</f>
        <v>146.952</v>
      </c>
      <c r="J101" s="74" t="n">
        <f aca="false">(D101*C101^3-(D101-E101)*(C101-2*F101)^3)/12</f>
        <v>1185216000</v>
      </c>
      <c r="K101" s="74" t="n">
        <f aca="false">J101/(C101/2)</f>
        <v>3950720</v>
      </c>
      <c r="L101" s="74" t="n">
        <f aca="false">E101*(C101-2*F101)</f>
        <v>6720</v>
      </c>
      <c r="M101" s="77" t="s">
        <v>435</v>
      </c>
      <c r="N101" s="77"/>
      <c r="O101" s="1" t="n">
        <f aca="false">(2*F101*D101^3+(C101-2*F101)*E101^3)/12</f>
        <v>90080640</v>
      </c>
      <c r="P101" s="1" t="n">
        <f aca="false">IFERROR(SQRT(J101/H101),"")</f>
        <v>251.620389700081</v>
      </c>
      <c r="Q101" s="1" t="n">
        <f aca="false">IFERROR(SQRT(O101/H101),"")</f>
        <v>69.3685807840985</v>
      </c>
    </row>
    <row r="102" customFormat="false" ht="32.25" hidden="false" customHeight="true" outlineLevel="0" collapsed="false">
      <c r="A102" s="74" t="s">
        <v>535</v>
      </c>
      <c r="B102" s="74" t="s">
        <v>409</v>
      </c>
      <c r="C102" s="74" t="n">
        <v>600</v>
      </c>
      <c r="D102" s="74" t="n">
        <v>300</v>
      </c>
      <c r="E102" s="74" t="n">
        <v>14</v>
      </c>
      <c r="F102" s="74" t="n">
        <v>23</v>
      </c>
      <c r="G102" s="74" t="n">
        <v>0</v>
      </c>
      <c r="H102" s="74" t="n">
        <f aca="false">2*D102*F102+(C102-2*F102)*E102</f>
        <v>21556</v>
      </c>
      <c r="I102" s="74" t="n">
        <f aca="false">H102*DB_Settings!$G$5</f>
        <v>169.2146</v>
      </c>
      <c r="J102" s="74" t="n">
        <f aca="false">(D102*C102^3-(D102-E102)*(C102-2*F102)^3)/12</f>
        <v>1347583441.33333</v>
      </c>
      <c r="K102" s="74" t="n">
        <f aca="false">J102/(C102/2)</f>
        <v>4491944.80444444</v>
      </c>
      <c r="L102" s="74" t="n">
        <f aca="false">E102*(C102-2*F102)</f>
        <v>7756</v>
      </c>
      <c r="M102" s="77" t="s">
        <v>435</v>
      </c>
      <c r="N102" s="77"/>
      <c r="O102" s="1" t="n">
        <f aca="false">(2*F102*D102^3+(C102-2*F102)*E102^3)/12</f>
        <v>103626681.333333</v>
      </c>
      <c r="P102" s="1" t="n">
        <f aca="false">IFERROR(SQRT(J102/H102),"")</f>
        <v>250.030935303803</v>
      </c>
      <c r="Q102" s="1" t="n">
        <f aca="false">IFERROR(SQRT(O102/H102),"")</f>
        <v>69.3348703087942</v>
      </c>
    </row>
    <row r="103" customFormat="false" ht="32.25" hidden="false" customHeight="true" outlineLevel="0" collapsed="false">
      <c r="A103" s="74" t="s">
        <v>536</v>
      </c>
      <c r="B103" s="74" t="s">
        <v>409</v>
      </c>
      <c r="C103" s="74" t="n">
        <v>600</v>
      </c>
      <c r="D103" s="74" t="n">
        <v>300</v>
      </c>
      <c r="E103" s="74" t="n">
        <v>16</v>
      </c>
      <c r="F103" s="74" t="n">
        <v>26</v>
      </c>
      <c r="G103" s="74" t="n">
        <v>0</v>
      </c>
      <c r="H103" s="74" t="n">
        <f aca="false">2*D103*F103+(C103-2*F103)*E103</f>
        <v>24368</v>
      </c>
      <c r="I103" s="74" t="n">
        <f aca="false">H103*DB_Settings!$G$5</f>
        <v>191.2888</v>
      </c>
      <c r="J103" s="74" t="n">
        <f aca="false">(D103*C103^3-(D103-E103)*(C103-2*F103)^3)/12</f>
        <v>1505257322.66667</v>
      </c>
      <c r="K103" s="74" t="n">
        <f aca="false">J103/(C103/2)</f>
        <v>5017524.40888889</v>
      </c>
      <c r="L103" s="74" t="n">
        <f aca="false">E103*(C103-2*F103)</f>
        <v>8768</v>
      </c>
      <c r="M103" s="77" t="s">
        <v>435</v>
      </c>
      <c r="N103" s="77"/>
      <c r="O103" s="1" t="n">
        <f aca="false">(2*F103*D103^3+(C103-2*F103)*E103^3)/12</f>
        <v>117187050.666667</v>
      </c>
      <c r="P103" s="1" t="n">
        <f aca="false">IFERROR(SQRT(J103/H103),"")</f>
        <v>248.539506295354</v>
      </c>
      <c r="Q103" s="1" t="n">
        <f aca="false">IFERROR(SQRT(O103/H103),"")</f>
        <v>69.3473498803988</v>
      </c>
    </row>
    <row r="104" customFormat="false" ht="32.25" hidden="false" customHeight="true" outlineLevel="0" collapsed="false">
      <c r="A104" s="74" t="s">
        <v>537</v>
      </c>
      <c r="B104" s="74" t="s">
        <v>409</v>
      </c>
      <c r="C104" s="74" t="n">
        <v>600</v>
      </c>
      <c r="D104" s="74" t="n">
        <v>300</v>
      </c>
      <c r="E104" s="74" t="n">
        <v>18</v>
      </c>
      <c r="F104" s="74" t="n">
        <v>30</v>
      </c>
      <c r="G104" s="74" t="n">
        <v>0</v>
      </c>
      <c r="H104" s="74" t="n">
        <f aca="false">2*D104*F104+(C104-2*F104)*E104</f>
        <v>27720</v>
      </c>
      <c r="I104" s="74" t="n">
        <f aca="false">H104*DB_Settings!$G$5</f>
        <v>217.602</v>
      </c>
      <c r="J104" s="74" t="n">
        <f aca="false">(D104*C104^3-(D104-E104)*(C104-2*F104)^3)/12</f>
        <v>1699596000</v>
      </c>
      <c r="K104" s="74" t="n">
        <f aca="false">J104/(C104/2)</f>
        <v>5665320</v>
      </c>
      <c r="L104" s="74" t="n">
        <f aca="false">E104*(C104-2*F104)</f>
        <v>9720</v>
      </c>
      <c r="M104" s="77" t="s">
        <v>435</v>
      </c>
      <c r="N104" s="77"/>
      <c r="O104" s="1" t="n">
        <f aca="false">(2*F104*D104^3+(C104-2*F104)*E104^3)/12</f>
        <v>135262440</v>
      </c>
      <c r="P104" s="1" t="n">
        <f aca="false">IFERROR(SQRT(J104/H104),"")</f>
        <v>247.614593699537</v>
      </c>
      <c r="Q104" s="1" t="n">
        <f aca="false">IFERROR(SQRT(O104/H104),"")</f>
        <v>69.8541151443306</v>
      </c>
    </row>
    <row r="105" customFormat="false" ht="32.25" hidden="false" customHeight="true" outlineLevel="0" collapsed="false">
      <c r="A105" s="74" t="s">
        <v>538</v>
      </c>
      <c r="B105" s="74" t="s">
        <v>409</v>
      </c>
      <c r="C105" s="74" t="n">
        <v>600</v>
      </c>
      <c r="D105" s="74" t="n">
        <v>300</v>
      </c>
      <c r="E105" s="74" t="n">
        <v>20</v>
      </c>
      <c r="F105" s="74" t="n">
        <v>34</v>
      </c>
      <c r="G105" s="74" t="n">
        <v>0</v>
      </c>
      <c r="H105" s="74" t="n">
        <f aca="false">2*D105*F105+(C105-2*F105)*E105</f>
        <v>31040</v>
      </c>
      <c r="I105" s="74" t="n">
        <f aca="false">H105*DB_Settings!$G$5</f>
        <v>243.664</v>
      </c>
      <c r="J105" s="74" t="n">
        <f aca="false">(D105*C105^3-(D105-E105)*(C105-2*F105)^3)/12</f>
        <v>1886728746.66667</v>
      </c>
      <c r="K105" s="74" t="n">
        <f aca="false">J105/(C105/2)</f>
        <v>6289095.82222222</v>
      </c>
      <c r="L105" s="74" t="n">
        <f aca="false">E105*(C105-2*F105)</f>
        <v>10640</v>
      </c>
      <c r="M105" s="77" t="s">
        <v>435</v>
      </c>
      <c r="N105" s="77"/>
      <c r="O105" s="1" t="n">
        <f aca="false">(2*F105*D105^3+(C105-2*F105)*E105^3)/12</f>
        <v>153354666.666667</v>
      </c>
      <c r="P105" s="1" t="n">
        <f aca="false">IFERROR(SQRT(J105/H105),"")</f>
        <v>246.543681609529</v>
      </c>
      <c r="Q105" s="1" t="n">
        <f aca="false">IFERROR(SQRT(O105/H105),"")</f>
        <v>70.2890448660294</v>
      </c>
    </row>
    <row r="106" customFormat="false" ht="32.25" hidden="false" customHeight="true" outlineLevel="0" collapsed="false">
      <c r="A106" s="74" t="s">
        <v>539</v>
      </c>
      <c r="B106" s="74" t="s">
        <v>409</v>
      </c>
      <c r="C106" s="74" t="n">
        <v>600</v>
      </c>
      <c r="D106" s="74" t="n">
        <v>300</v>
      </c>
      <c r="E106" s="74" t="n">
        <v>24</v>
      </c>
      <c r="F106" s="74" t="n">
        <v>40</v>
      </c>
      <c r="G106" s="74" t="n">
        <v>0</v>
      </c>
      <c r="H106" s="74" t="n">
        <f aca="false">2*D106*F106+(C106-2*F106)*E106</f>
        <v>36480</v>
      </c>
      <c r="I106" s="74" t="n">
        <f aca="false">H106*DB_Settings!$G$5</f>
        <v>286.368</v>
      </c>
      <c r="J106" s="74" t="n">
        <f aca="false">(D106*C106^3-(D106-E106)*(C106-2*F106)^3)/12</f>
        <v>2166016000</v>
      </c>
      <c r="K106" s="74" t="n">
        <f aca="false">J106/(C106/2)</f>
        <v>7220053.33333333</v>
      </c>
      <c r="L106" s="74" t="n">
        <f aca="false">E106*(C106-2*F106)</f>
        <v>12480</v>
      </c>
      <c r="M106" s="77" t="s">
        <v>435</v>
      </c>
      <c r="N106" s="77"/>
      <c r="O106" s="1" t="n">
        <f aca="false">(2*F106*D106^3+(C106-2*F106)*E106^3)/12</f>
        <v>180599040</v>
      </c>
      <c r="P106" s="1" t="n">
        <f aca="false">IFERROR(SQRT(J106/H106),"")</f>
        <v>243.670758599573</v>
      </c>
      <c r="Q106" s="1" t="n">
        <f aca="false">IFERROR(SQRT(O106/H106),"")</f>
        <v>70.3607246903226</v>
      </c>
    </row>
    <row r="107" customFormat="false" ht="32.25" hidden="false" customHeight="true" outlineLevel="0" collapsed="false">
      <c r="A107" s="74" t="s">
        <v>540</v>
      </c>
      <c r="B107" s="74" t="s">
        <v>409</v>
      </c>
      <c r="C107" s="74" t="n">
        <v>700</v>
      </c>
      <c r="D107" s="74" t="n">
        <v>300</v>
      </c>
      <c r="E107" s="74" t="n">
        <v>13</v>
      </c>
      <c r="F107" s="74" t="n">
        <v>20</v>
      </c>
      <c r="G107" s="74" t="n">
        <v>0</v>
      </c>
      <c r="H107" s="74" t="n">
        <f aca="false">2*D107*F107+(C107-2*F107)*E107</f>
        <v>20580</v>
      </c>
      <c r="I107" s="74" t="n">
        <f aca="false">H107*DB_Settings!$G$5</f>
        <v>161.553</v>
      </c>
      <c r="J107" s="74" t="n">
        <f aca="false">(D107*C107^3-(D107-E107)*(C107-2*F107)^3)/12</f>
        <v>1699054000</v>
      </c>
      <c r="K107" s="74" t="n">
        <f aca="false">J107/(C107/2)</f>
        <v>4854440</v>
      </c>
      <c r="L107" s="74" t="n">
        <f aca="false">E107*(C107-2*F107)</f>
        <v>8580</v>
      </c>
      <c r="M107" s="77" t="s">
        <v>435</v>
      </c>
      <c r="N107" s="77"/>
      <c r="O107" s="1" t="n">
        <f aca="false">(2*F107*D107^3+(C107-2*F107)*E107^3)/12</f>
        <v>90120835</v>
      </c>
      <c r="P107" s="1" t="n">
        <f aca="false">IFERROR(SQRT(J107/H107),"")</f>
        <v>287.3299556283</v>
      </c>
      <c r="Q107" s="1" t="n">
        <f aca="false">IFERROR(SQRT(O107/H107),"")</f>
        <v>66.1743856769966</v>
      </c>
    </row>
    <row r="108" customFormat="false" ht="32.25" hidden="false" customHeight="true" outlineLevel="0" collapsed="false">
      <c r="A108" s="74" t="s">
        <v>541</v>
      </c>
      <c r="B108" s="74" t="s">
        <v>409</v>
      </c>
      <c r="C108" s="74" t="n">
        <v>700</v>
      </c>
      <c r="D108" s="74" t="n">
        <v>300</v>
      </c>
      <c r="E108" s="74" t="n">
        <v>13</v>
      </c>
      <c r="F108" s="74" t="n">
        <v>24</v>
      </c>
      <c r="G108" s="74" t="n">
        <v>0</v>
      </c>
      <c r="H108" s="74" t="n">
        <f aca="false">2*D108*F108+(C108-2*F108)*E108</f>
        <v>22876</v>
      </c>
      <c r="I108" s="74" t="n">
        <f aca="false">H108*DB_Settings!$G$5</f>
        <v>179.5766</v>
      </c>
      <c r="J108" s="74" t="n">
        <f aca="false">(D108*C108^3-(D108-E108)*(C108-2*F108)^3)/12</f>
        <v>1946069925.33333</v>
      </c>
      <c r="K108" s="74" t="n">
        <f aca="false">J108/(C108/2)</f>
        <v>5560199.78666667</v>
      </c>
      <c r="L108" s="74" t="n">
        <f aca="false">E108*(C108-2*F108)</f>
        <v>8476</v>
      </c>
      <c r="M108" s="77" t="s">
        <v>435</v>
      </c>
      <c r="N108" s="77"/>
      <c r="O108" s="1" t="n">
        <f aca="false">(2*F108*D108^3+(C108-2*F108)*E108^3)/12</f>
        <v>108119370.333333</v>
      </c>
      <c r="P108" s="1" t="n">
        <f aca="false">IFERROR(SQRT(J108/H108),"")</f>
        <v>291.66826391123</v>
      </c>
      <c r="Q108" s="1" t="n">
        <f aca="false">IFERROR(SQRT(O108/H108),"")</f>
        <v>68.7482598718987</v>
      </c>
    </row>
    <row r="109" customFormat="false" ht="32.25" hidden="false" customHeight="true" outlineLevel="0" collapsed="false">
      <c r="A109" s="74" t="s">
        <v>542</v>
      </c>
      <c r="B109" s="74" t="s">
        <v>409</v>
      </c>
      <c r="C109" s="74" t="n">
        <v>700</v>
      </c>
      <c r="D109" s="74" t="n">
        <v>300</v>
      </c>
      <c r="E109" s="74" t="n">
        <v>15</v>
      </c>
      <c r="F109" s="74" t="n">
        <v>28</v>
      </c>
      <c r="G109" s="74" t="n">
        <v>0</v>
      </c>
      <c r="H109" s="74" t="n">
        <f aca="false">2*D109*F109+(C109-2*F109)*E109</f>
        <v>26460</v>
      </c>
      <c r="I109" s="74" t="n">
        <f aca="false">H109*DB_Settings!$G$5</f>
        <v>207.711</v>
      </c>
      <c r="J109" s="74" t="n">
        <f aca="false">(D109*C109^3-(D109-E109)*(C109-2*F109)^3)/12</f>
        <v>2231612880</v>
      </c>
      <c r="K109" s="74" t="n">
        <f aca="false">J109/(C109/2)</f>
        <v>6376036.8</v>
      </c>
      <c r="L109" s="74" t="n">
        <f aca="false">E109*(C109-2*F109)</f>
        <v>9660</v>
      </c>
      <c r="M109" s="77" t="s">
        <v>435</v>
      </c>
      <c r="N109" s="77"/>
      <c r="O109" s="1" t="n">
        <f aca="false">(2*F109*D109^3+(C109-2*F109)*E109^3)/12</f>
        <v>126181125</v>
      </c>
      <c r="P109" s="1" t="n">
        <f aca="false">IFERROR(SQRT(J109/H109),"")</f>
        <v>290.411967919904</v>
      </c>
      <c r="Q109" s="1" t="n">
        <f aca="false">IFERROR(SQRT(O109/H109),"")</f>
        <v>69.0561365846657</v>
      </c>
    </row>
    <row r="110" customFormat="false" ht="32.25" hidden="false" customHeight="true" outlineLevel="0" collapsed="false">
      <c r="A110" s="74" t="s">
        <v>543</v>
      </c>
      <c r="B110" s="74" t="s">
        <v>409</v>
      </c>
      <c r="C110" s="74" t="n">
        <v>700</v>
      </c>
      <c r="D110" s="74" t="n">
        <v>300</v>
      </c>
      <c r="E110" s="74" t="n">
        <v>19</v>
      </c>
      <c r="F110" s="74" t="n">
        <v>30</v>
      </c>
      <c r="G110" s="74" t="n">
        <v>0</v>
      </c>
      <c r="H110" s="74" t="n">
        <f aca="false">2*D110*F110+(C110-2*F110)*E110</f>
        <v>30160</v>
      </c>
      <c r="I110" s="74" t="n">
        <f aca="false">H110*DB_Settings!$G$5</f>
        <v>236.756</v>
      </c>
      <c r="J110" s="74" t="n">
        <f aca="false">(D110*C110^3-(D110-E110)*(C110-2*F110)^3)/12</f>
        <v>2436461333.33333</v>
      </c>
      <c r="K110" s="74" t="n">
        <f aca="false">J110/(C110/2)</f>
        <v>6961318.0952381</v>
      </c>
      <c r="L110" s="74" t="n">
        <f aca="false">E110*(C110-2*F110)</f>
        <v>12160</v>
      </c>
      <c r="M110" s="77" t="s">
        <v>435</v>
      </c>
      <c r="N110" s="77"/>
      <c r="O110" s="1" t="n">
        <f aca="false">(2*F110*D110^3+(C110-2*F110)*E110^3)/12</f>
        <v>135365813.333333</v>
      </c>
      <c r="P110" s="1" t="n">
        <f aca="false">IFERROR(SQRT(J110/H110),"")</f>
        <v>284.226189798346</v>
      </c>
      <c r="Q110" s="1" t="n">
        <f aca="false">IFERROR(SQRT(O110/H110),"")</f>
        <v>66.9944505929887</v>
      </c>
    </row>
    <row r="111" customFormat="false" ht="32.25" hidden="false" customHeight="true" outlineLevel="0" collapsed="false">
      <c r="A111" s="74" t="s">
        <v>544</v>
      </c>
      <c r="B111" s="74" t="s">
        <v>409</v>
      </c>
      <c r="C111" s="74" t="n">
        <v>700</v>
      </c>
      <c r="D111" s="74" t="n">
        <v>300</v>
      </c>
      <c r="E111" s="74" t="n">
        <v>21</v>
      </c>
      <c r="F111" s="74" t="n">
        <v>33</v>
      </c>
      <c r="G111" s="74" t="n">
        <v>0</v>
      </c>
      <c r="H111" s="74" t="n">
        <f aca="false">2*D111*F111+(C111-2*F111)*E111</f>
        <v>33114</v>
      </c>
      <c r="I111" s="74" t="n">
        <f aca="false">H111*DB_Settings!$G$5</f>
        <v>259.9449</v>
      </c>
      <c r="J111" s="74" t="n">
        <f aca="false">(D111*C111^3-(D111-E111)*(C111-2*F111)^3)/12</f>
        <v>2649967582</v>
      </c>
      <c r="K111" s="74" t="n">
        <f aca="false">J111/(C111/2)</f>
        <v>7571335.94857143</v>
      </c>
      <c r="L111" s="74" t="n">
        <f aca="false">E111*(C111-2*F111)</f>
        <v>13314</v>
      </c>
      <c r="M111" s="77" t="s">
        <v>435</v>
      </c>
      <c r="N111" s="77"/>
      <c r="O111" s="1" t="n">
        <f aca="false">(2*F111*D111^3+(C111-2*F111)*E111^3)/12</f>
        <v>148989289.5</v>
      </c>
      <c r="P111" s="1" t="n">
        <f aca="false">IFERROR(SQRT(J111/H111),"")</f>
        <v>282.887956408357</v>
      </c>
      <c r="Q111" s="1" t="n">
        <f aca="false">IFERROR(SQRT(O111/H111),"")</f>
        <v>67.0767021665938</v>
      </c>
    </row>
    <row r="112" customFormat="false" ht="32.25" hidden="false" customHeight="true" outlineLevel="0" collapsed="false">
      <c r="A112" s="74" t="s">
        <v>545</v>
      </c>
      <c r="B112" s="74" t="s">
        <v>409</v>
      </c>
      <c r="C112" s="74" t="n">
        <v>700</v>
      </c>
      <c r="D112" s="74" t="n">
        <v>300</v>
      </c>
      <c r="E112" s="74" t="n">
        <v>24</v>
      </c>
      <c r="F112" s="74" t="n">
        <v>40</v>
      </c>
      <c r="G112" s="74" t="n">
        <v>0</v>
      </c>
      <c r="H112" s="74" t="n">
        <f aca="false">2*D112*F112+(C112-2*F112)*E112</f>
        <v>38880</v>
      </c>
      <c r="I112" s="74" t="n">
        <f aca="false">H112*DB_Settings!$G$5</f>
        <v>305.208</v>
      </c>
      <c r="J112" s="74" t="n">
        <f aca="false">(D112*C112^3-(D112-E112)*(C112-2*F112)^3)/12</f>
        <v>3093456000</v>
      </c>
      <c r="K112" s="74" t="n">
        <f aca="false">J112/(C112/2)</f>
        <v>8838445.71428572</v>
      </c>
      <c r="L112" s="74" t="n">
        <f aca="false">E112*(C112-2*F112)</f>
        <v>14880</v>
      </c>
      <c r="M112" s="77" t="s">
        <v>435</v>
      </c>
      <c r="N112" s="77"/>
      <c r="O112" s="1" t="n">
        <f aca="false">(2*F112*D112^3+(C112-2*F112)*E112^3)/12</f>
        <v>180714240</v>
      </c>
      <c r="P112" s="1" t="n">
        <f aca="false">IFERROR(SQRT(J112/H112),"")</f>
        <v>282.071263213508</v>
      </c>
      <c r="Q112" s="1" t="n">
        <f aca="false">IFERROR(SQRT(O112/H112),"")</f>
        <v>68.1762421962372</v>
      </c>
    </row>
    <row r="113" customFormat="false" ht="32.25" hidden="false" customHeight="true" outlineLevel="0" collapsed="false">
      <c r="A113" s="74" t="s">
        <v>546</v>
      </c>
      <c r="B113" s="74" t="s">
        <v>409</v>
      </c>
      <c r="C113" s="74" t="n">
        <v>800</v>
      </c>
      <c r="D113" s="74" t="n">
        <v>300</v>
      </c>
      <c r="E113" s="74" t="n">
        <v>14</v>
      </c>
      <c r="F113" s="74" t="n">
        <v>22</v>
      </c>
      <c r="G113" s="74" t="n">
        <v>0</v>
      </c>
      <c r="H113" s="74" t="n">
        <f aca="false">2*D113*F113+(C113-2*F113)*E113</f>
        <v>23784</v>
      </c>
      <c r="I113" s="74" t="n">
        <f aca="false">H113*DB_Settings!$G$5</f>
        <v>186.7044</v>
      </c>
      <c r="J113" s="74" t="n">
        <f aca="false">(D113*C113^3-(D113-E113)*(C113-2*F113)^3)/12</f>
        <v>2502064352</v>
      </c>
      <c r="K113" s="74" t="n">
        <f aca="false">J113/(C113/2)</f>
        <v>6255160.88</v>
      </c>
      <c r="L113" s="74" t="n">
        <f aca="false">E113*(C113-2*F113)</f>
        <v>10584</v>
      </c>
      <c r="M113" s="77" t="s">
        <v>435</v>
      </c>
      <c r="N113" s="77"/>
      <c r="O113" s="1" t="n">
        <f aca="false">(2*F113*D113^3+(C113-2*F113)*E113^3)/12</f>
        <v>99172872</v>
      </c>
      <c r="P113" s="1" t="n">
        <f aca="false">IFERROR(SQRT(J113/H113),"")</f>
        <v>324.344687983232</v>
      </c>
      <c r="Q113" s="1" t="n">
        <f aca="false">IFERROR(SQRT(O113/H113),"")</f>
        <v>64.573451008728</v>
      </c>
    </row>
    <row r="114" customFormat="false" ht="32.25" hidden="false" customHeight="true" outlineLevel="0" collapsed="false">
      <c r="A114" s="74" t="s">
        <v>547</v>
      </c>
      <c r="B114" s="74" t="s">
        <v>409</v>
      </c>
      <c r="C114" s="74" t="n">
        <v>800</v>
      </c>
      <c r="D114" s="74" t="n">
        <v>300</v>
      </c>
      <c r="E114" s="74" t="n">
        <v>14</v>
      </c>
      <c r="F114" s="74" t="n">
        <v>26</v>
      </c>
      <c r="G114" s="74" t="n">
        <v>0</v>
      </c>
      <c r="H114" s="74" t="n">
        <f aca="false">2*D114*F114+(C114-2*F114)*E114</f>
        <v>26072</v>
      </c>
      <c r="I114" s="74" t="n">
        <f aca="false">H114*DB_Settings!$G$5</f>
        <v>204.6652</v>
      </c>
      <c r="J114" s="74" t="n">
        <f aca="false">(D114*C114^3-(D114-E114)*(C114-2*F114)^3)/12</f>
        <v>2825535690.66667</v>
      </c>
      <c r="K114" s="74" t="n">
        <f aca="false">J114/(C114/2)</f>
        <v>7063839.22666667</v>
      </c>
      <c r="L114" s="74" t="n">
        <f aca="false">E114*(C114-2*F114)</f>
        <v>10472</v>
      </c>
      <c r="M114" s="77" t="s">
        <v>435</v>
      </c>
      <c r="N114" s="77"/>
      <c r="O114" s="1" t="n">
        <f aca="false">(2*F114*D114^3+(C114-2*F114)*E114^3)/12</f>
        <v>117171042.666667</v>
      </c>
      <c r="P114" s="1" t="n">
        <f aca="false">IFERROR(SQRT(J114/H114),"")</f>
        <v>329.20257607576</v>
      </c>
      <c r="Q114" s="1" t="n">
        <f aca="false">IFERROR(SQRT(O114/H114),"")</f>
        <v>67.0382970544809</v>
      </c>
    </row>
    <row r="115" customFormat="false" ht="32.25" hidden="false" customHeight="true" outlineLevel="0" collapsed="false">
      <c r="A115" s="74" t="s">
        <v>548</v>
      </c>
      <c r="B115" s="74" t="s">
        <v>409</v>
      </c>
      <c r="C115" s="74" t="n">
        <v>800</v>
      </c>
      <c r="D115" s="74" t="n">
        <v>300</v>
      </c>
      <c r="E115" s="74" t="n">
        <v>18</v>
      </c>
      <c r="F115" s="74" t="n">
        <v>30</v>
      </c>
      <c r="G115" s="74" t="n">
        <v>0</v>
      </c>
      <c r="H115" s="74" t="n">
        <f aca="false">2*D115*F115+(C115-2*F115)*E115</f>
        <v>31320</v>
      </c>
      <c r="I115" s="74" t="n">
        <f aca="false">H115*DB_Settings!$G$5</f>
        <v>245.862</v>
      </c>
      <c r="J115" s="74" t="n">
        <f aca="false">(D115*C115^3-(D115-E115)*(C115-2*F115)^3)/12</f>
        <v>3277236000</v>
      </c>
      <c r="K115" s="74" t="n">
        <f aca="false">J115/(C115/2)</f>
        <v>8193090</v>
      </c>
      <c r="L115" s="74" t="n">
        <f aca="false">E115*(C115-2*F115)</f>
        <v>13320</v>
      </c>
      <c r="M115" s="77" t="s">
        <v>435</v>
      </c>
      <c r="N115" s="77"/>
      <c r="O115" s="1" t="n">
        <f aca="false">(2*F115*D115^3+(C115-2*F115)*E115^3)/12</f>
        <v>135359640</v>
      </c>
      <c r="P115" s="1" t="n">
        <f aca="false">IFERROR(SQRT(J115/H115),"")</f>
        <v>323.476683473412</v>
      </c>
      <c r="Q115" s="1" t="n">
        <f aca="false">IFERROR(SQRT(O115/H115),"")</f>
        <v>65.7406083498388</v>
      </c>
    </row>
    <row r="116" customFormat="false" ht="32.25" hidden="false" customHeight="true" outlineLevel="0" collapsed="false">
      <c r="A116" s="74" t="s">
        <v>549</v>
      </c>
      <c r="B116" s="74" t="s">
        <v>409</v>
      </c>
      <c r="C116" s="74" t="n">
        <v>800</v>
      </c>
      <c r="D116" s="74" t="n">
        <v>300</v>
      </c>
      <c r="E116" s="74" t="n">
        <v>20</v>
      </c>
      <c r="F116" s="74" t="n">
        <v>34</v>
      </c>
      <c r="G116" s="74" t="n">
        <v>0</v>
      </c>
      <c r="H116" s="74" t="n">
        <f aca="false">2*D116*F116+(C116-2*F116)*E116</f>
        <v>35040</v>
      </c>
      <c r="I116" s="74" t="n">
        <f aca="false">H116*DB_Settings!$G$5</f>
        <v>275.064</v>
      </c>
      <c r="J116" s="74" t="n">
        <f aca="false">(D116*C116^3-(D116-E116)*(C116-2*F116)^3)/12</f>
        <v>3648126080</v>
      </c>
      <c r="K116" s="74" t="n">
        <f aca="false">J116/(C116/2)</f>
        <v>9120315.2</v>
      </c>
      <c r="L116" s="74" t="n">
        <f aca="false">E116*(C116-2*F116)</f>
        <v>14640</v>
      </c>
      <c r="M116" s="77" t="s">
        <v>435</v>
      </c>
      <c r="N116" s="77"/>
      <c r="O116" s="1" t="n">
        <f aca="false">(2*F116*D116^3+(C116-2*F116)*E116^3)/12</f>
        <v>153488000</v>
      </c>
      <c r="P116" s="1" t="n">
        <f aca="false">IFERROR(SQRT(J116/H116),"")</f>
        <v>322.665751536496</v>
      </c>
      <c r="Q116" s="1" t="n">
        <f aca="false">IFERROR(SQRT(O116/H116),"")</f>
        <v>66.1843281812519</v>
      </c>
    </row>
    <row r="117" customFormat="false" ht="32.25" hidden="false" customHeight="true" outlineLevel="0" collapsed="false">
      <c r="A117" s="74" t="s">
        <v>550</v>
      </c>
      <c r="B117" s="74" t="s">
        <v>409</v>
      </c>
      <c r="C117" s="74" t="n">
        <v>800</v>
      </c>
      <c r="D117" s="74" t="n">
        <v>300</v>
      </c>
      <c r="E117" s="74" t="n">
        <v>22</v>
      </c>
      <c r="F117" s="74" t="n">
        <v>40</v>
      </c>
      <c r="G117" s="74" t="n">
        <v>0</v>
      </c>
      <c r="H117" s="74" t="n">
        <f aca="false">2*D117*F117+(C117-2*F117)*E117</f>
        <v>39840</v>
      </c>
      <c r="I117" s="74" t="n">
        <f aca="false">H117*DB_Settings!$G$5</f>
        <v>312.744</v>
      </c>
      <c r="J117" s="74" t="n">
        <f aca="false">(D117*C117^3-(D117-E117)*(C117-2*F117)^3)/12</f>
        <v>4153088000</v>
      </c>
      <c r="K117" s="74" t="n">
        <f aca="false">J117/(C117/2)</f>
        <v>10382720</v>
      </c>
      <c r="L117" s="74" t="n">
        <f aca="false">E117*(C117-2*F117)</f>
        <v>15840</v>
      </c>
      <c r="M117" s="77" t="s">
        <v>435</v>
      </c>
      <c r="N117" s="77"/>
      <c r="O117" s="1" t="n">
        <f aca="false">(2*F117*D117^3+(C117-2*F117)*E117^3)/12</f>
        <v>180638880</v>
      </c>
      <c r="P117" s="1" t="n">
        <f aca="false">IFERROR(SQRT(J117/H117),"")</f>
        <v>322.868667892732</v>
      </c>
      <c r="Q117" s="1" t="n">
        <f aca="false">IFERROR(SQRT(O117/H117),"")</f>
        <v>67.335788654585</v>
      </c>
    </row>
    <row r="118" customFormat="false" ht="32.25" hidden="false" customHeight="true" outlineLevel="0" collapsed="false">
      <c r="A118" s="74" t="s">
        <v>551</v>
      </c>
      <c r="B118" s="74" t="s">
        <v>409</v>
      </c>
      <c r="C118" s="74" t="n">
        <v>900</v>
      </c>
      <c r="D118" s="74" t="n">
        <v>300</v>
      </c>
      <c r="E118" s="74" t="n">
        <v>15</v>
      </c>
      <c r="F118" s="74" t="n">
        <v>23</v>
      </c>
      <c r="G118" s="74" t="n">
        <v>0</v>
      </c>
      <c r="H118" s="74" t="n">
        <f aca="false">2*D118*F118+(C118-2*F118)*E118</f>
        <v>26610</v>
      </c>
      <c r="I118" s="74" t="n">
        <f aca="false">H118*DB_Settings!$G$5</f>
        <v>208.8885</v>
      </c>
      <c r="J118" s="74" t="n">
        <f aca="false">(D118*C118^3-(D118-E118)*(C118-2*F118)^3)/12</f>
        <v>3432648230</v>
      </c>
      <c r="K118" s="74" t="n">
        <f aca="false">J118/(C118/2)</f>
        <v>7628107.17777778</v>
      </c>
      <c r="L118" s="74" t="n">
        <f aca="false">E118*(C118-2*F118)</f>
        <v>12810</v>
      </c>
      <c r="M118" s="77" t="s">
        <v>435</v>
      </c>
      <c r="N118" s="77"/>
      <c r="O118" s="1" t="n">
        <f aca="false">(2*F118*D118^3+(C118-2*F118)*E118^3)/12</f>
        <v>103740187.5</v>
      </c>
      <c r="P118" s="1" t="n">
        <f aca="false">IFERROR(SQRT(J118/H118),"")</f>
        <v>359.163514696809</v>
      </c>
      <c r="Q118" s="1" t="n">
        <f aca="false">IFERROR(SQRT(O118/H118),"")</f>
        <v>62.4383010002079</v>
      </c>
    </row>
    <row r="119" customFormat="false" ht="32.25" hidden="false" customHeight="true" outlineLevel="0" collapsed="false">
      <c r="A119" s="74" t="s">
        <v>552</v>
      </c>
      <c r="B119" s="74" t="s">
        <v>409</v>
      </c>
      <c r="C119" s="74" t="n">
        <v>900</v>
      </c>
      <c r="D119" s="74" t="n">
        <v>300</v>
      </c>
      <c r="E119" s="74" t="n">
        <v>16</v>
      </c>
      <c r="F119" s="74" t="n">
        <v>28</v>
      </c>
      <c r="G119" s="74" t="n">
        <v>0</v>
      </c>
      <c r="H119" s="74" t="n">
        <f aca="false">2*D119*F119+(C119-2*F119)*E119</f>
        <v>30304</v>
      </c>
      <c r="I119" s="74" t="n">
        <f aca="false">H119*DB_Settings!$G$5</f>
        <v>237.8864</v>
      </c>
      <c r="J119" s="74" t="n">
        <f aca="false">(D119*C119^3-(D119-E119)*(C119-2*F119)^3)/12</f>
        <v>3996325845.33333</v>
      </c>
      <c r="K119" s="74" t="n">
        <f aca="false">J119/(C119/2)</f>
        <v>8880724.10074074</v>
      </c>
      <c r="L119" s="74" t="n">
        <f aca="false">E119*(C119-2*F119)</f>
        <v>13504</v>
      </c>
      <c r="M119" s="77" t="s">
        <v>435</v>
      </c>
      <c r="N119" s="77"/>
      <c r="O119" s="1" t="n">
        <f aca="false">(2*F119*D119^3+(C119-2*F119)*E119^3)/12</f>
        <v>126288085.333333</v>
      </c>
      <c r="P119" s="1" t="n">
        <f aca="false">IFERROR(SQRT(J119/H119),"")</f>
        <v>363.145333043049</v>
      </c>
      <c r="Q119" s="1" t="n">
        <f aca="false">IFERROR(SQRT(O119/H119),"")</f>
        <v>64.555197002637</v>
      </c>
    </row>
    <row r="120" customFormat="false" ht="32.25" hidden="false" customHeight="true" outlineLevel="0" collapsed="false">
      <c r="A120" s="74" t="s">
        <v>553</v>
      </c>
      <c r="B120" s="74" t="s">
        <v>409</v>
      </c>
      <c r="C120" s="74" t="n">
        <v>900</v>
      </c>
      <c r="D120" s="74" t="n">
        <v>300</v>
      </c>
      <c r="E120" s="74" t="n">
        <v>18</v>
      </c>
      <c r="F120" s="74" t="n">
        <v>34</v>
      </c>
      <c r="G120" s="74" t="n">
        <v>0</v>
      </c>
      <c r="H120" s="74" t="n">
        <f aca="false">2*D120*F120+(C120-2*F120)*E120</f>
        <v>35376</v>
      </c>
      <c r="I120" s="74" t="n">
        <f aca="false">H120*DB_Settings!$G$5</f>
        <v>277.7016</v>
      </c>
      <c r="J120" s="74" t="n">
        <f aca="false">(D120*C120^3-(D120-E120)*(C120-2*F120)^3)/12</f>
        <v>4690636352</v>
      </c>
      <c r="K120" s="74" t="n">
        <f aca="false">J120/(C120/2)</f>
        <v>10423636.3377778</v>
      </c>
      <c r="L120" s="74" t="n">
        <f aca="false">E120*(C120-2*F120)</f>
        <v>14976</v>
      </c>
      <c r="M120" s="77" t="s">
        <v>435</v>
      </c>
      <c r="N120" s="77"/>
      <c r="O120" s="1" t="n">
        <f aca="false">(2*F120*D120^3+(C120-2*F120)*E120^3)/12</f>
        <v>153404352</v>
      </c>
      <c r="P120" s="1" t="n">
        <f aca="false">IFERROR(SQRT(J120/H120),"")</f>
        <v>364.13424147747</v>
      </c>
      <c r="Q120" s="1" t="n">
        <f aca="false">IFERROR(SQRT(O120/H120),"")</f>
        <v>65.8513188995795</v>
      </c>
    </row>
    <row r="121" customFormat="false" ht="32.25" hidden="false" customHeight="true" outlineLevel="0" collapsed="false">
      <c r="A121" s="74" t="s">
        <v>554</v>
      </c>
      <c r="B121" s="74" t="s">
        <v>409</v>
      </c>
      <c r="C121" s="74" t="n">
        <v>900</v>
      </c>
      <c r="D121" s="74" t="n">
        <v>300</v>
      </c>
      <c r="E121" s="74" t="n">
        <v>19</v>
      </c>
      <c r="F121" s="74" t="n">
        <v>37</v>
      </c>
      <c r="G121" s="74" t="n">
        <v>0</v>
      </c>
      <c r="H121" s="74" t="n">
        <f aca="false">2*D121*F121+(C121-2*F121)*E121</f>
        <v>37894</v>
      </c>
      <c r="I121" s="74" t="n">
        <f aca="false">H121*DB_Settings!$G$5</f>
        <v>297.4679</v>
      </c>
      <c r="J121" s="74" t="n">
        <f aca="false">(D121*C121^3-(D121-E121)*(C121-2*F121)^3)/12</f>
        <v>5028303895.33333</v>
      </c>
      <c r="K121" s="74" t="n">
        <f aca="false">J121/(C121/2)</f>
        <v>11174008.6562963</v>
      </c>
      <c r="L121" s="74" t="n">
        <f aca="false">E121*(C121-2*F121)</f>
        <v>15694</v>
      </c>
      <c r="M121" s="77" t="s">
        <v>435</v>
      </c>
      <c r="N121" s="77"/>
      <c r="O121" s="1" t="n">
        <f aca="false">(2*F121*D121^3+(C121-2*F121)*E121^3)/12</f>
        <v>166972127.833333</v>
      </c>
      <c r="P121" s="1" t="n">
        <f aca="false">IFERROR(SQRT(J121/H121),"")</f>
        <v>364.271784459524</v>
      </c>
      <c r="Q121" s="1" t="n">
        <f aca="false">IFERROR(SQRT(O121/H121),"")</f>
        <v>66.3799262344112</v>
      </c>
    </row>
    <row r="122" customFormat="false" ht="32.25" hidden="false" customHeight="true" outlineLevel="0" collapsed="false">
      <c r="A122" s="74" t="s">
        <v>555</v>
      </c>
      <c r="B122" s="74" t="s">
        <v>409</v>
      </c>
      <c r="C122" s="74" t="n">
        <v>100</v>
      </c>
      <c r="D122" s="74" t="n">
        <v>75</v>
      </c>
      <c r="E122" s="74" t="n">
        <v>5</v>
      </c>
      <c r="F122" s="74" t="n">
        <v>8</v>
      </c>
      <c r="G122" s="74" t="n">
        <v>0</v>
      </c>
      <c r="H122" s="74" t="n">
        <f aca="false">2*D122*F122+(C122-2*F122)*E122</f>
        <v>1620</v>
      </c>
      <c r="I122" s="74" t="n">
        <f aca="false">H122*DB_Settings!$G$5</f>
        <v>12.717</v>
      </c>
      <c r="J122" s="74" t="n">
        <f aca="false">(D122*C122^3-(D122-E122)*(C122-2*F122)^3)/12</f>
        <v>2792560</v>
      </c>
      <c r="K122" s="74" t="n">
        <f aca="false">J122/(C122/2)</f>
        <v>55851.2</v>
      </c>
      <c r="L122" s="74" t="n">
        <f aca="false">E122*(C122-2*F122)</f>
        <v>420</v>
      </c>
      <c r="M122" s="77" t="s">
        <v>435</v>
      </c>
      <c r="N122" s="77"/>
      <c r="O122" s="1" t="n">
        <f aca="false">(2*F122*D122^3+(C122-2*F122)*E122^3)/12</f>
        <v>563375</v>
      </c>
      <c r="P122" s="1" t="n">
        <f aca="false">IFERROR(SQRT(J122/H122),"")</f>
        <v>41.5187002341813</v>
      </c>
      <c r="Q122" s="1" t="n">
        <f aca="false">IFERROR(SQRT(O122/H122),"")</f>
        <v>18.6483872138856</v>
      </c>
    </row>
    <row r="123" customFormat="false" ht="32.25" hidden="false" customHeight="true" outlineLevel="0" collapsed="false">
      <c r="A123" s="74" t="s">
        <v>556</v>
      </c>
      <c r="B123" s="74" t="s">
        <v>409</v>
      </c>
      <c r="C123" s="74" t="n">
        <v>125</v>
      </c>
      <c r="D123" s="74" t="n">
        <v>75</v>
      </c>
      <c r="E123" s="74" t="n">
        <v>5.5</v>
      </c>
      <c r="F123" s="74" t="n">
        <v>9.5</v>
      </c>
      <c r="G123" s="74" t="n">
        <v>0</v>
      </c>
      <c r="H123" s="74" t="n">
        <f aca="false">2*D123*F123+(C123-2*F123)*E123</f>
        <v>2008</v>
      </c>
      <c r="I123" s="74" t="n">
        <f aca="false">H123*DB_Settings!$G$5</f>
        <v>15.7628</v>
      </c>
      <c r="J123" s="74" t="n">
        <f aca="false">(D123*C123^3-(D123-E123)*(C123-2*F123)^3)/12</f>
        <v>5309063.58333333</v>
      </c>
      <c r="K123" s="74" t="n">
        <f aca="false">J123/(C123/2)</f>
        <v>84945.0173333333</v>
      </c>
      <c r="L123" s="74" t="n">
        <f aca="false">E123*(C123-2*F123)</f>
        <v>583</v>
      </c>
      <c r="M123" s="77" t="s">
        <v>435</v>
      </c>
      <c r="N123" s="77"/>
      <c r="O123" s="1" t="n">
        <f aca="false">(2*F123*D123^3+(C123-2*F123)*E123^3)/12</f>
        <v>669438.395833333</v>
      </c>
      <c r="P123" s="1" t="n">
        <f aca="false">IFERROR(SQRT(J123/H123),"")</f>
        <v>51.4194123633816</v>
      </c>
      <c r="Q123" s="1" t="n">
        <f aca="false">IFERROR(SQRT(O123/H123),"")</f>
        <v>18.2588514232272</v>
      </c>
    </row>
    <row r="124" customFormat="false" ht="32.25" hidden="false" customHeight="true" outlineLevel="0" collapsed="false">
      <c r="A124" s="74" t="s">
        <v>557</v>
      </c>
      <c r="B124" s="74" t="s">
        <v>409</v>
      </c>
      <c r="C124" s="74" t="n">
        <v>150</v>
      </c>
      <c r="D124" s="74" t="n">
        <v>75</v>
      </c>
      <c r="E124" s="74" t="n">
        <v>5.5</v>
      </c>
      <c r="F124" s="74" t="n">
        <v>9.5</v>
      </c>
      <c r="G124" s="74" t="n">
        <v>0</v>
      </c>
      <c r="H124" s="74" t="n">
        <f aca="false">2*D124*F124+(C124-2*F124)*E124</f>
        <v>2145.5</v>
      </c>
      <c r="I124" s="74" t="n">
        <f aca="false">H124*DB_Settings!$G$5</f>
        <v>16.842175</v>
      </c>
      <c r="J124" s="74" t="n">
        <f aca="false">(D124*C124^3-(D124-E124)*(C124-2*F124)^3)/12</f>
        <v>8073556.29166667</v>
      </c>
      <c r="K124" s="74" t="n">
        <f aca="false">J124/(C124/2)</f>
        <v>107647.417222222</v>
      </c>
      <c r="L124" s="74" t="n">
        <f aca="false">E124*(C124-2*F124)</f>
        <v>720.5</v>
      </c>
      <c r="M124" s="77" t="s">
        <v>435</v>
      </c>
      <c r="N124" s="77"/>
      <c r="O124" s="1" t="n">
        <f aca="false">(2*F124*D124^3+(C124-2*F124)*E124^3)/12</f>
        <v>669785.010416667</v>
      </c>
      <c r="P124" s="1" t="n">
        <f aca="false">IFERROR(SQRT(J124/H124),"")</f>
        <v>61.3434474623846</v>
      </c>
      <c r="Q124" s="1" t="n">
        <f aca="false">IFERROR(SQRT(O124/H124),"")</f>
        <v>17.6686534453856</v>
      </c>
    </row>
    <row r="125" customFormat="false" ht="32.25" hidden="false" customHeight="true" outlineLevel="0" collapsed="false">
      <c r="A125" s="74" t="s">
        <v>558</v>
      </c>
      <c r="B125" s="74" t="s">
        <v>409</v>
      </c>
      <c r="C125" s="74" t="n">
        <v>150</v>
      </c>
      <c r="D125" s="74" t="n">
        <v>125</v>
      </c>
      <c r="E125" s="74" t="n">
        <v>8.5</v>
      </c>
      <c r="F125" s="74" t="n">
        <v>14</v>
      </c>
      <c r="G125" s="74" t="n">
        <v>0</v>
      </c>
      <c r="H125" s="74" t="n">
        <f aca="false">2*D125*F125+(C125-2*F125)*E125</f>
        <v>4537</v>
      </c>
      <c r="I125" s="74" t="n">
        <f aca="false">H125*DB_Settings!$G$5</f>
        <v>35.61545</v>
      </c>
      <c r="J125" s="74" t="n">
        <f aca="false">(D125*C125^3-(D125-E125)*(C125-2*F125)^3)/12</f>
        <v>17527392.3333333</v>
      </c>
      <c r="K125" s="74" t="n">
        <f aca="false">J125/(C125/2)</f>
        <v>233698.564444444</v>
      </c>
      <c r="L125" s="74" t="n">
        <f aca="false">E125*(C125-2*F125)</f>
        <v>1037</v>
      </c>
      <c r="M125" s="77" t="s">
        <v>435</v>
      </c>
      <c r="N125" s="77"/>
      <c r="O125" s="1" t="n">
        <f aca="false">(2*F125*D125^3+(C125-2*F125)*E125^3)/12</f>
        <v>4563535.27083333</v>
      </c>
      <c r="P125" s="1" t="n">
        <f aca="false">IFERROR(SQRT(J125/H125),"")</f>
        <v>62.1547414719423</v>
      </c>
      <c r="Q125" s="1" t="n">
        <f aca="false">IFERROR(SQRT(O125/H125),"")</f>
        <v>31.7151168695641</v>
      </c>
    </row>
    <row r="126" customFormat="false" ht="32.25" hidden="false" customHeight="true" outlineLevel="0" collapsed="false">
      <c r="A126" s="74" t="s">
        <v>559</v>
      </c>
      <c r="B126" s="74" t="s">
        <v>409</v>
      </c>
      <c r="C126" s="74" t="n">
        <v>180</v>
      </c>
      <c r="D126" s="74" t="n">
        <v>100</v>
      </c>
      <c r="E126" s="74" t="n">
        <v>6</v>
      </c>
      <c r="F126" s="74" t="n">
        <v>10</v>
      </c>
      <c r="G126" s="74" t="n">
        <v>0</v>
      </c>
      <c r="H126" s="74" t="n">
        <f aca="false">2*D126*F126+(C126-2*F126)*E126</f>
        <v>2960</v>
      </c>
      <c r="I126" s="74" t="n">
        <f aca="false">H126*DB_Settings!$G$5</f>
        <v>23.236</v>
      </c>
      <c r="J126" s="74" t="n">
        <f aca="false">(D126*C126^3-(D126-E126)*(C126-2*F126)^3)/12</f>
        <v>16514666.6666667</v>
      </c>
      <c r="K126" s="74" t="n">
        <f aca="false">J126/(C126/2)</f>
        <v>183496.296296296</v>
      </c>
      <c r="L126" s="74" t="n">
        <f aca="false">E126*(C126-2*F126)</f>
        <v>960</v>
      </c>
      <c r="M126" s="77" t="s">
        <v>435</v>
      </c>
      <c r="N126" s="77"/>
      <c r="O126" s="1" t="n">
        <f aca="false">(2*F126*D126^3+(C126-2*F126)*E126^3)/12</f>
        <v>1669546.66666667</v>
      </c>
      <c r="P126" s="1" t="n">
        <f aca="false">IFERROR(SQRT(J126/H126),"")</f>
        <v>74.6945732920356</v>
      </c>
      <c r="Q126" s="1" t="n">
        <f aca="false">IFERROR(SQRT(O126/H126),"")</f>
        <v>23.7494428573816</v>
      </c>
    </row>
    <row r="127" customFormat="false" ht="32.25" hidden="false" customHeight="true" outlineLevel="0" collapsed="false">
      <c r="A127" s="74" t="s">
        <v>560</v>
      </c>
      <c r="B127" s="74" t="s">
        <v>409</v>
      </c>
      <c r="C127" s="74" t="n">
        <v>200</v>
      </c>
      <c r="D127" s="74" t="n">
        <v>100</v>
      </c>
      <c r="E127" s="74" t="n">
        <v>7</v>
      </c>
      <c r="F127" s="74" t="n">
        <v>10</v>
      </c>
      <c r="G127" s="74" t="n">
        <v>0</v>
      </c>
      <c r="H127" s="74" t="n">
        <f aca="false">2*D127*F127+(C127-2*F127)*E127</f>
        <v>3260</v>
      </c>
      <c r="I127" s="74" t="n">
        <f aca="false">H127*DB_Settings!$G$5</f>
        <v>25.591</v>
      </c>
      <c r="J127" s="74" t="n">
        <f aca="false">(D127*C127^3-(D127-E127)*(C127-2*F127)^3)/12</f>
        <v>21468666.6666667</v>
      </c>
      <c r="K127" s="74" t="n">
        <f aca="false">J127/(C127/2)</f>
        <v>214686.666666667</v>
      </c>
      <c r="L127" s="74" t="n">
        <f aca="false">E127*(C127-2*F127)</f>
        <v>1260</v>
      </c>
      <c r="M127" s="77" t="s">
        <v>435</v>
      </c>
      <c r="N127" s="77"/>
      <c r="O127" s="1" t="n">
        <f aca="false">(2*F127*D127^3+(C127-2*F127)*E127^3)/12</f>
        <v>1671811.66666667</v>
      </c>
      <c r="P127" s="1" t="n">
        <f aca="false">IFERROR(SQRT(J127/H127),"")</f>
        <v>81.1509739473109</v>
      </c>
      <c r="Q127" s="1" t="n">
        <f aca="false">IFERROR(SQRT(O127/H127),"")</f>
        <v>22.645654431296</v>
      </c>
    </row>
    <row r="128" customFormat="false" ht="32.25" hidden="false" customHeight="true" outlineLevel="0" collapsed="false">
      <c r="A128" s="74" t="s">
        <v>561</v>
      </c>
      <c r="B128" s="74" t="s">
        <v>409</v>
      </c>
      <c r="C128" s="74" t="n">
        <v>200</v>
      </c>
      <c r="D128" s="74" t="n">
        <v>150</v>
      </c>
      <c r="E128" s="74" t="n">
        <v>9</v>
      </c>
      <c r="F128" s="74" t="n">
        <v>16</v>
      </c>
      <c r="G128" s="74" t="n">
        <v>0</v>
      </c>
      <c r="H128" s="74" t="n">
        <f aca="false">2*D128*F128+(C128-2*F128)*E128</f>
        <v>6312</v>
      </c>
      <c r="I128" s="74" t="n">
        <f aca="false">H128*DB_Settings!$G$5</f>
        <v>49.5492</v>
      </c>
      <c r="J128" s="74" t="n">
        <f aca="false">(D128*C128^3-(D128-E128)*(C128-2*F128)^3)/12</f>
        <v>44285824</v>
      </c>
      <c r="K128" s="74" t="n">
        <f aca="false">J128/(C128/2)</f>
        <v>442858.24</v>
      </c>
      <c r="L128" s="74" t="n">
        <f aca="false">E128*(C128-2*F128)</f>
        <v>1512</v>
      </c>
      <c r="M128" s="77" t="s">
        <v>435</v>
      </c>
      <c r="N128" s="77"/>
      <c r="O128" s="1" t="n">
        <f aca="false">(2*F128*D128^3+(C128-2*F128)*E128^3)/12</f>
        <v>9010206</v>
      </c>
      <c r="P128" s="1" t="n">
        <f aca="false">IFERROR(SQRT(J128/H128),"")</f>
        <v>83.7623531929517</v>
      </c>
      <c r="Q128" s="1" t="n">
        <f aca="false">IFERROR(SQRT(O128/H128),"")</f>
        <v>37.7819061649896</v>
      </c>
    </row>
    <row r="129" customFormat="false" ht="32.25" hidden="false" customHeight="true" outlineLevel="0" collapsed="false">
      <c r="A129" s="74" t="s">
        <v>562</v>
      </c>
      <c r="B129" s="74" t="s">
        <v>409</v>
      </c>
      <c r="C129" s="74" t="n">
        <v>250</v>
      </c>
      <c r="D129" s="74" t="n">
        <v>125</v>
      </c>
      <c r="E129" s="74" t="n">
        <v>7.5</v>
      </c>
      <c r="F129" s="74" t="n">
        <v>12.5</v>
      </c>
      <c r="G129" s="74" t="n">
        <v>0</v>
      </c>
      <c r="H129" s="74" t="n">
        <f aca="false">2*D129*F129+(C129-2*F129)*E129</f>
        <v>4812.5</v>
      </c>
      <c r="I129" s="74" t="n">
        <f aca="false">H129*DB_Settings!$G$5</f>
        <v>37.778125</v>
      </c>
      <c r="J129" s="74" t="n">
        <f aca="false">(D129*C129^3-(D129-E129)*(C129-2*F129)^3)/12</f>
        <v>51227213.5416667</v>
      </c>
      <c r="K129" s="74" t="n">
        <f aca="false">J129/(C129/2)</f>
        <v>409817.708333333</v>
      </c>
      <c r="L129" s="74" t="n">
        <f aca="false">E129*(C129-2*F129)</f>
        <v>1687.5</v>
      </c>
      <c r="M129" s="77" t="s">
        <v>435</v>
      </c>
      <c r="N129" s="77"/>
      <c r="O129" s="1" t="n">
        <f aca="false">(2*F129*D129^3+(C129-2*F129)*E129^3)/12</f>
        <v>4076920.57291667</v>
      </c>
      <c r="P129" s="1" t="n">
        <f aca="false">IFERROR(SQRT(J129/H129),"")</f>
        <v>103.172747374807</v>
      </c>
      <c r="Q129" s="1" t="n">
        <f aca="false">IFERROR(SQRT(O129/H129),"")</f>
        <v>29.1058813101378</v>
      </c>
    </row>
    <row r="130" customFormat="false" ht="32.25" hidden="false" customHeight="true" outlineLevel="0" collapsed="false">
      <c r="A130" s="74" t="s">
        <v>563</v>
      </c>
      <c r="B130" s="74" t="s">
        <v>409</v>
      </c>
      <c r="C130" s="74" t="n">
        <v>250</v>
      </c>
      <c r="D130" s="74" t="n">
        <v>125</v>
      </c>
      <c r="E130" s="74" t="n">
        <v>10</v>
      </c>
      <c r="F130" s="74" t="n">
        <v>19</v>
      </c>
      <c r="G130" s="74" t="n">
        <v>0</v>
      </c>
      <c r="H130" s="74" t="n">
        <f aca="false">2*D130*F130+(C130-2*F130)*E130</f>
        <v>6870</v>
      </c>
      <c r="I130" s="74" t="n">
        <f aca="false">H130*DB_Settings!$G$5</f>
        <v>53.9295</v>
      </c>
      <c r="J130" s="74" t="n">
        <f aca="false">(D130*C130^3-(D130-E130)*(C130-2*F130)^3)/12</f>
        <v>71449190</v>
      </c>
      <c r="K130" s="74" t="n">
        <f aca="false">J130/(C130/2)</f>
        <v>571593.52</v>
      </c>
      <c r="L130" s="74" t="n">
        <f aca="false">E130*(C130-2*F130)</f>
        <v>2120</v>
      </c>
      <c r="M130" s="77" t="s">
        <v>435</v>
      </c>
      <c r="N130" s="77"/>
      <c r="O130" s="1" t="n">
        <f aca="false">(2*F130*D130^3+(C130-2*F130)*E130^3)/12</f>
        <v>6202562.5</v>
      </c>
      <c r="P130" s="1" t="n">
        <f aca="false">IFERROR(SQRT(J130/H130),"")</f>
        <v>101.98123953397</v>
      </c>
      <c r="Q130" s="1" t="n">
        <f aca="false">IFERROR(SQRT(O130/H130),"")</f>
        <v>30.0474212782573</v>
      </c>
    </row>
    <row r="131" customFormat="false" ht="32.25" hidden="false" customHeight="true" outlineLevel="0" collapsed="false">
      <c r="A131" s="74" t="s">
        <v>564</v>
      </c>
      <c r="B131" s="74" t="s">
        <v>409</v>
      </c>
      <c r="C131" s="74" t="n">
        <v>300</v>
      </c>
      <c r="D131" s="74" t="n">
        <v>150</v>
      </c>
      <c r="E131" s="74" t="n">
        <v>8</v>
      </c>
      <c r="F131" s="74" t="n">
        <v>13</v>
      </c>
      <c r="G131" s="74" t="n">
        <v>0</v>
      </c>
      <c r="H131" s="74" t="n">
        <f aca="false">2*D131*F131+(C131-2*F131)*E131</f>
        <v>6092</v>
      </c>
      <c r="I131" s="74" t="n">
        <f aca="false">H131*DB_Settings!$G$5</f>
        <v>47.8222</v>
      </c>
      <c r="J131" s="74" t="n">
        <f aca="false">(D131*C131^3-(D131-E131)*(C131-2*F131)^3)/12</f>
        <v>94078582.6666667</v>
      </c>
      <c r="K131" s="74" t="n">
        <f aca="false">J131/(C131/2)</f>
        <v>627190.551111111</v>
      </c>
      <c r="L131" s="74" t="n">
        <f aca="false">E131*(C131-2*F131)</f>
        <v>2192</v>
      </c>
      <c r="M131" s="77" t="s">
        <v>435</v>
      </c>
      <c r="N131" s="77"/>
      <c r="O131" s="1" t="n">
        <f aca="false">(2*F131*D131^3+(C131-2*F131)*E131^3)/12</f>
        <v>7324190.66666667</v>
      </c>
      <c r="P131" s="1" t="n">
        <f aca="false">IFERROR(SQRT(J131/H131),"")</f>
        <v>124.269753147677</v>
      </c>
      <c r="Q131" s="1" t="n">
        <f aca="false">IFERROR(SQRT(O131/H131),"")</f>
        <v>34.6736749401994</v>
      </c>
    </row>
    <row r="132" customFormat="false" ht="32.25" hidden="false" customHeight="true" outlineLevel="0" collapsed="false">
      <c r="A132" s="74" t="s">
        <v>565</v>
      </c>
      <c r="B132" s="74" t="s">
        <v>409</v>
      </c>
      <c r="C132" s="74" t="n">
        <v>300</v>
      </c>
      <c r="D132" s="74" t="n">
        <v>150</v>
      </c>
      <c r="E132" s="74" t="n">
        <v>10</v>
      </c>
      <c r="F132" s="74" t="n">
        <v>18.5</v>
      </c>
      <c r="G132" s="74" t="n">
        <v>0</v>
      </c>
      <c r="H132" s="74" t="n">
        <f aca="false">2*D132*F132+(C132-2*F132)*E132</f>
        <v>8180</v>
      </c>
      <c r="I132" s="74" t="n">
        <f aca="false">H132*DB_Settings!$G$5</f>
        <v>64.213</v>
      </c>
      <c r="J132" s="74" t="n">
        <f aca="false">(D132*C132^3-(D132-E132)*(C132-2*F132)^3)/12</f>
        <v>125266451.666667</v>
      </c>
      <c r="K132" s="74" t="n">
        <f aca="false">J132/(C132/2)</f>
        <v>835109.677777778</v>
      </c>
      <c r="L132" s="74" t="n">
        <f aca="false">E132*(C132-2*F132)</f>
        <v>2630</v>
      </c>
      <c r="M132" s="77" t="s">
        <v>435</v>
      </c>
      <c r="N132" s="77"/>
      <c r="O132" s="1" t="n">
        <f aca="false">(2*F132*D132^3+(C132-2*F132)*E132^3)/12</f>
        <v>10428166.6666667</v>
      </c>
      <c r="P132" s="1" t="n">
        <f aca="false">IFERROR(SQRT(J132/H132),"")</f>
        <v>123.748725841983</v>
      </c>
      <c r="Q132" s="1" t="n">
        <f aca="false">IFERROR(SQRT(O132/H132),"")</f>
        <v>35.7048596246365</v>
      </c>
    </row>
    <row r="133" customFormat="false" ht="32.25" hidden="false" customHeight="true" outlineLevel="0" collapsed="false">
      <c r="A133" s="74" t="s">
        <v>566</v>
      </c>
      <c r="B133" s="74" t="s">
        <v>409</v>
      </c>
      <c r="C133" s="74" t="n">
        <v>300</v>
      </c>
      <c r="D133" s="74" t="n">
        <v>150</v>
      </c>
      <c r="E133" s="74" t="n">
        <v>11.5</v>
      </c>
      <c r="F133" s="74" t="n">
        <v>22</v>
      </c>
      <c r="G133" s="74" t="n">
        <v>0</v>
      </c>
      <c r="H133" s="74" t="n">
        <f aca="false">2*D133*F133+(C133-2*F133)*E133</f>
        <v>9544</v>
      </c>
      <c r="I133" s="74" t="n">
        <f aca="false">H133*DB_Settings!$G$5</f>
        <v>74.9204</v>
      </c>
      <c r="J133" s="74" t="n">
        <f aca="false">(D133*C133^3-(D133-E133)*(C133-2*F133)^3)/12</f>
        <v>143862965.333333</v>
      </c>
      <c r="K133" s="74" t="n">
        <f aca="false">J133/(C133/2)</f>
        <v>959086.435555556</v>
      </c>
      <c r="L133" s="74" t="n">
        <f aca="false">E133*(C133-2*F133)</f>
        <v>2944</v>
      </c>
      <c r="M133" s="77" t="s">
        <v>435</v>
      </c>
      <c r="N133" s="77"/>
      <c r="O133" s="1" t="n">
        <f aca="false">(2*F133*D133^3+(C133-2*F133)*E133^3)/12</f>
        <v>12407445.3333333</v>
      </c>
      <c r="P133" s="1" t="n">
        <f aca="false">IFERROR(SQRT(J133/H133),"")</f>
        <v>122.774815051593</v>
      </c>
      <c r="Q133" s="1" t="n">
        <f aca="false">IFERROR(SQRT(O133/H133),"")</f>
        <v>36.0558692240852</v>
      </c>
    </row>
    <row r="134" customFormat="false" ht="32.25" hidden="false" customHeight="true" outlineLevel="0" collapsed="false">
      <c r="A134" s="74" t="s">
        <v>567</v>
      </c>
      <c r="B134" s="74" t="s">
        <v>409</v>
      </c>
      <c r="C134" s="74" t="n">
        <v>350</v>
      </c>
      <c r="D134" s="74" t="n">
        <v>150</v>
      </c>
      <c r="E134" s="74" t="n">
        <v>9</v>
      </c>
      <c r="F134" s="74" t="n">
        <v>15</v>
      </c>
      <c r="G134" s="74" t="n">
        <v>0</v>
      </c>
      <c r="H134" s="74" t="n">
        <f aca="false">2*D134*F134+(C134-2*F134)*E134</f>
        <v>7380</v>
      </c>
      <c r="I134" s="74" t="n">
        <f aca="false">H134*DB_Settings!$G$5</f>
        <v>57.933</v>
      </c>
      <c r="J134" s="74" t="n">
        <f aca="false">(D134*C134^3-(D134-E134)*(C134-2*F134)^3)/12</f>
        <v>150913500</v>
      </c>
      <c r="K134" s="74" t="n">
        <f aca="false">J134/(C134/2)</f>
        <v>862362.857142857</v>
      </c>
      <c r="L134" s="74" t="n">
        <f aca="false">E134*(C134-2*F134)</f>
        <v>2880</v>
      </c>
      <c r="M134" s="77" t="s">
        <v>435</v>
      </c>
      <c r="N134" s="77"/>
      <c r="O134" s="1" t="n">
        <f aca="false">(2*F134*D134^3+(C134-2*F134)*E134^3)/12</f>
        <v>8456940</v>
      </c>
      <c r="P134" s="1" t="n">
        <f aca="false">IFERROR(SQRT(J134/H134),"")</f>
        <v>142.999943146273</v>
      </c>
      <c r="Q134" s="1" t="n">
        <f aca="false">IFERROR(SQRT(O134/H134),"")</f>
        <v>33.8515410176301</v>
      </c>
    </row>
    <row r="135" customFormat="false" ht="32.25" hidden="false" customHeight="true" outlineLevel="0" collapsed="false">
      <c r="A135" s="74" t="s">
        <v>568</v>
      </c>
      <c r="B135" s="74" t="s">
        <v>409</v>
      </c>
      <c r="C135" s="74" t="n">
        <v>350</v>
      </c>
      <c r="D135" s="74" t="n">
        <v>150</v>
      </c>
      <c r="E135" s="74" t="n">
        <v>12</v>
      </c>
      <c r="F135" s="74" t="n">
        <v>24</v>
      </c>
      <c r="G135" s="74" t="n">
        <v>0</v>
      </c>
      <c r="H135" s="74" t="n">
        <f aca="false">2*D135*F135+(C135-2*F135)*E135</f>
        <v>10824</v>
      </c>
      <c r="I135" s="74" t="n">
        <f aca="false">H135*DB_Settings!$G$5</f>
        <v>84.9684</v>
      </c>
      <c r="J135" s="74" t="n">
        <f aca="false">(D135*C135^3-(D135-E135)*(C135-2*F135)^3)/12</f>
        <v>219186008</v>
      </c>
      <c r="K135" s="74" t="n">
        <f aca="false">J135/(C135/2)</f>
        <v>1252491.47428571</v>
      </c>
      <c r="L135" s="74" t="n">
        <f aca="false">E135*(C135-2*F135)</f>
        <v>3624</v>
      </c>
      <c r="M135" s="77" t="s">
        <v>435</v>
      </c>
      <c r="N135" s="77"/>
      <c r="O135" s="1" t="n">
        <f aca="false">(2*F135*D135^3+(C135-2*F135)*E135^3)/12</f>
        <v>13543488</v>
      </c>
      <c r="P135" s="1" t="n">
        <f aca="false">IFERROR(SQRT(J135/H135),"")</f>
        <v>142.302497304504</v>
      </c>
      <c r="Q135" s="1" t="n">
        <f aca="false">IFERROR(SQRT(O135/H135),"")</f>
        <v>35.3729574637734</v>
      </c>
    </row>
    <row r="136" customFormat="false" ht="32.25" hidden="false" customHeight="true" outlineLevel="0" collapsed="false">
      <c r="A136" s="74" t="s">
        <v>569</v>
      </c>
      <c r="B136" s="74" t="s">
        <v>409</v>
      </c>
      <c r="C136" s="74" t="n">
        <v>400</v>
      </c>
      <c r="D136" s="74" t="n">
        <v>150</v>
      </c>
      <c r="E136" s="74" t="n">
        <v>10</v>
      </c>
      <c r="F136" s="74" t="n">
        <v>18</v>
      </c>
      <c r="G136" s="74" t="n">
        <v>0</v>
      </c>
      <c r="H136" s="74" t="n">
        <f aca="false">2*D136*F136+(C136-2*F136)*E136</f>
        <v>9040</v>
      </c>
      <c r="I136" s="74" t="n">
        <f aca="false">H136*DB_Settings!$G$5</f>
        <v>70.964</v>
      </c>
      <c r="J136" s="74" t="n">
        <f aca="false">(D136*C136^3-(D136-E136)*(C136-2*F136)^3)/12</f>
        <v>237333653.333333</v>
      </c>
      <c r="K136" s="74" t="n">
        <f aca="false">J136/(C136/2)</f>
        <v>1186668.26666667</v>
      </c>
      <c r="L136" s="74" t="n">
        <f aca="false">E136*(C136-2*F136)</f>
        <v>3640</v>
      </c>
      <c r="M136" s="77" t="s">
        <v>435</v>
      </c>
      <c r="N136" s="77"/>
      <c r="O136" s="1" t="n">
        <f aca="false">(2*F136*D136^3+(C136-2*F136)*E136^3)/12</f>
        <v>10155333.3333333</v>
      </c>
      <c r="P136" s="1" t="n">
        <f aca="false">IFERROR(SQRT(J136/H136),"")</f>
        <v>162.03000559731</v>
      </c>
      <c r="Q136" s="1" t="n">
        <f aca="false">IFERROR(SQRT(O136/H136),"")</f>
        <v>33.5168253437127</v>
      </c>
    </row>
    <row r="137" customFormat="false" ht="32.25" hidden="false" customHeight="true" outlineLevel="0" collapsed="false">
      <c r="A137" s="74" t="s">
        <v>570</v>
      </c>
      <c r="B137" s="74" t="s">
        <v>409</v>
      </c>
      <c r="C137" s="74" t="n">
        <v>400</v>
      </c>
      <c r="D137" s="74" t="n">
        <v>150</v>
      </c>
      <c r="E137" s="74" t="n">
        <v>12.5</v>
      </c>
      <c r="F137" s="74" t="n">
        <v>25</v>
      </c>
      <c r="G137" s="74" t="n">
        <v>0</v>
      </c>
      <c r="H137" s="74" t="n">
        <f aca="false">2*D137*F137+(C137-2*F137)*E137</f>
        <v>11875</v>
      </c>
      <c r="I137" s="74" t="n">
        <f aca="false">H137*DB_Settings!$G$5</f>
        <v>93.21875</v>
      </c>
      <c r="J137" s="74" t="n">
        <f aca="false">(D137*C137^3-(D137-E137)*(C137-2*F137)^3)/12</f>
        <v>308723958.333333</v>
      </c>
      <c r="K137" s="74" t="n">
        <f aca="false">J137/(C137/2)</f>
        <v>1543619.79166667</v>
      </c>
      <c r="L137" s="74" t="n">
        <f aca="false">E137*(C137-2*F137)</f>
        <v>4375</v>
      </c>
      <c r="M137" s="77" t="s">
        <v>435</v>
      </c>
      <c r="N137" s="77"/>
      <c r="O137" s="1" t="n">
        <f aca="false">(2*F137*D137^3+(C137-2*F137)*E137^3)/12</f>
        <v>14119466.1458333</v>
      </c>
      <c r="P137" s="1" t="n">
        <f aca="false">IFERROR(SQRT(J137/H137),"")</f>
        <v>161.238354672652</v>
      </c>
      <c r="Q137" s="1" t="n">
        <f aca="false">IFERROR(SQRT(O137/H137),"")</f>
        <v>34.4819905956515</v>
      </c>
    </row>
    <row r="138" customFormat="false" ht="32.25" hidden="false" customHeight="true" outlineLevel="0" collapsed="false">
      <c r="A138" s="74" t="s">
        <v>571</v>
      </c>
      <c r="B138" s="74" t="s">
        <v>409</v>
      </c>
      <c r="C138" s="74" t="n">
        <v>450</v>
      </c>
      <c r="D138" s="74" t="n">
        <v>175</v>
      </c>
      <c r="E138" s="74" t="n">
        <v>11</v>
      </c>
      <c r="F138" s="74" t="n">
        <v>20</v>
      </c>
      <c r="G138" s="74" t="n">
        <v>0</v>
      </c>
      <c r="H138" s="74" t="n">
        <f aca="false">2*D138*F138+(C138-2*F138)*E138</f>
        <v>11510</v>
      </c>
      <c r="I138" s="74" t="n">
        <f aca="false">H138*DB_Settings!$G$5</f>
        <v>90.3535</v>
      </c>
      <c r="J138" s="74" t="n">
        <f aca="false">(D138*C138^3-(D138-E138)*(C138-2*F138)^3)/12</f>
        <v>386985916.666667</v>
      </c>
      <c r="K138" s="74" t="n">
        <f aca="false">J138/(C138/2)</f>
        <v>1719937.40740741</v>
      </c>
      <c r="L138" s="74" t="n">
        <f aca="false">E138*(C138-2*F138)</f>
        <v>4510</v>
      </c>
      <c r="M138" s="77" t="s">
        <v>435</v>
      </c>
      <c r="N138" s="77"/>
      <c r="O138" s="1" t="n">
        <f aca="false">(2*F138*D138^3+(C138-2*F138)*E138^3)/12</f>
        <v>17910059.1666667</v>
      </c>
      <c r="P138" s="1" t="n">
        <f aca="false">IFERROR(SQRT(J138/H138),"")</f>
        <v>183.362245304713</v>
      </c>
      <c r="Q138" s="1" t="n">
        <f aca="false">IFERROR(SQRT(O138/H138),"")</f>
        <v>39.4467155551096</v>
      </c>
    </row>
    <row r="139" customFormat="false" ht="32.25" hidden="false" customHeight="true" outlineLevel="0" collapsed="false">
      <c r="A139" s="74" t="s">
        <v>572</v>
      </c>
      <c r="B139" s="74" t="s">
        <v>409</v>
      </c>
      <c r="C139" s="74" t="n">
        <v>450</v>
      </c>
      <c r="D139" s="74" t="n">
        <v>175</v>
      </c>
      <c r="E139" s="74" t="n">
        <v>13</v>
      </c>
      <c r="F139" s="74" t="n">
        <v>26</v>
      </c>
      <c r="G139" s="74" t="n">
        <v>0</v>
      </c>
      <c r="H139" s="74" t="n">
        <f aca="false">2*D139*F139+(C139-2*F139)*E139</f>
        <v>14274</v>
      </c>
      <c r="I139" s="74" t="n">
        <f aca="false">H139*DB_Settings!$G$5</f>
        <v>112.0509</v>
      </c>
      <c r="J139" s="74" t="n">
        <f aca="false">(D139*C139^3-(D139-E139)*(C139-2*F139)^3)/12</f>
        <v>477801558</v>
      </c>
      <c r="K139" s="74" t="n">
        <f aca="false">J139/(C139/2)</f>
        <v>2123562.48</v>
      </c>
      <c r="L139" s="74" t="n">
        <f aca="false">E139*(C139-2*F139)</f>
        <v>5174</v>
      </c>
      <c r="M139" s="77" t="s">
        <v>435</v>
      </c>
      <c r="N139" s="77"/>
      <c r="O139" s="1" t="n">
        <f aca="false">(2*F139*D139^3+(C139-2*F139)*E139^3)/12</f>
        <v>23296825.5</v>
      </c>
      <c r="P139" s="1" t="n">
        <f aca="false">IFERROR(SQRT(J139/H139),"")</f>
        <v>182.957802175937</v>
      </c>
      <c r="Q139" s="1" t="n">
        <f aca="false">IFERROR(SQRT(O139/H139),"")</f>
        <v>40.3994569297482</v>
      </c>
    </row>
    <row r="140" customFormat="false" ht="32.25" hidden="false" customHeight="true" outlineLevel="0" collapsed="false">
      <c r="A140" s="74" t="s">
        <v>573</v>
      </c>
      <c r="B140" s="74" t="s">
        <v>409</v>
      </c>
      <c r="C140" s="74" t="n">
        <v>600</v>
      </c>
      <c r="D140" s="74" t="n">
        <v>190</v>
      </c>
      <c r="E140" s="74" t="n">
        <v>13</v>
      </c>
      <c r="F140" s="74" t="n">
        <v>25</v>
      </c>
      <c r="G140" s="74" t="n">
        <v>0</v>
      </c>
      <c r="H140" s="74" t="n">
        <f aca="false">2*D140*F140+(C140-2*F140)*E140</f>
        <v>16650</v>
      </c>
      <c r="I140" s="74" t="n">
        <f aca="false">H140*DB_Settings!$G$5</f>
        <v>130.7025</v>
      </c>
      <c r="J140" s="74" t="n">
        <f aca="false">(D140*C140^3-(D140-E140)*(C140-2*F140)^3)/12</f>
        <v>965968750</v>
      </c>
      <c r="K140" s="74" t="n">
        <f aca="false">J140/(C140/2)</f>
        <v>3219895.83333333</v>
      </c>
      <c r="L140" s="74" t="n">
        <f aca="false">E140*(C140-2*F140)</f>
        <v>7150</v>
      </c>
      <c r="M140" s="77" t="s">
        <v>435</v>
      </c>
      <c r="N140" s="77"/>
      <c r="O140" s="1" t="n">
        <f aca="false">(2*F140*D140^3+(C140-2*F140)*E140^3)/12</f>
        <v>28679862.5</v>
      </c>
      <c r="P140" s="1" t="n">
        <f aca="false">IFERROR(SQRT(J140/H140),"")</f>
        <v>240.865400464951</v>
      </c>
      <c r="Q140" s="1" t="n">
        <f aca="false">IFERROR(SQRT(O140/H140),"")</f>
        <v>41.503183784672</v>
      </c>
    </row>
    <row r="141" customFormat="false" ht="32.25" hidden="false" customHeight="true" outlineLevel="0" collapsed="false">
      <c r="A141" s="74" t="s">
        <v>574</v>
      </c>
      <c r="B141" s="74" t="s">
        <v>409</v>
      </c>
      <c r="C141" s="74" t="n">
        <v>600</v>
      </c>
      <c r="D141" s="74" t="n">
        <v>190</v>
      </c>
      <c r="E141" s="74" t="n">
        <v>16</v>
      </c>
      <c r="F141" s="74" t="n">
        <v>35</v>
      </c>
      <c r="G141" s="74" t="n">
        <v>0</v>
      </c>
      <c r="H141" s="74" t="n">
        <f aca="false">2*D141*F141+(C141-2*F141)*E141</f>
        <v>21780</v>
      </c>
      <c r="I141" s="74" t="n">
        <f aca="false">H141*DB_Settings!$G$5</f>
        <v>170.973</v>
      </c>
      <c r="J141" s="74" t="n">
        <f aca="false">(D141*C141^3-(D141-E141)*(C141-2*F141)^3)/12</f>
        <v>1261283500</v>
      </c>
      <c r="K141" s="74" t="n">
        <f aca="false">J141/(C141/2)</f>
        <v>4204278.33333333</v>
      </c>
      <c r="L141" s="74" t="n">
        <f aca="false">E141*(C141-2*F141)</f>
        <v>8480</v>
      </c>
      <c r="M141" s="77" t="s">
        <v>435</v>
      </c>
      <c r="N141" s="77"/>
      <c r="O141" s="1" t="n">
        <f aca="false">(2*F141*D141^3+(C141-2*F141)*E141^3)/12</f>
        <v>40191740</v>
      </c>
      <c r="P141" s="1" t="n">
        <f aca="false">IFERROR(SQRT(J141/H141),"")</f>
        <v>240.645319673216</v>
      </c>
      <c r="Q141" s="1" t="n">
        <f aca="false">IFERROR(SQRT(O141/H141),"")</f>
        <v>42.9575462582839</v>
      </c>
    </row>
    <row r="142" customFormat="false" ht="32.25" hidden="false" customHeight="true" outlineLevel="0" collapsed="false">
      <c r="A142" s="74" t="s">
        <v>575</v>
      </c>
      <c r="B142" s="75" t="s">
        <v>420</v>
      </c>
      <c r="C142" s="74" t="n">
        <v>75</v>
      </c>
      <c r="D142" s="74" t="n">
        <v>40</v>
      </c>
      <c r="E142" s="74" t="n">
        <v>5</v>
      </c>
      <c r="F142" s="74" t="n">
        <v>7</v>
      </c>
      <c r="G142" s="74" t="n">
        <v>0</v>
      </c>
      <c r="H142" s="74" t="n">
        <f aca="false">2*D142*F142+(C142-2*F142)*E142</f>
        <v>865</v>
      </c>
      <c r="I142" s="74" t="n">
        <f aca="false">H142*DB_Settings!$G$5</f>
        <v>6.79025</v>
      </c>
      <c r="J142" s="74" t="n">
        <f aca="false">(D142*C142^3-(D142-E142)*(C142-2*F142)^3)/12</f>
        <v>744222.083333333</v>
      </c>
      <c r="K142" s="74" t="n">
        <f aca="false">J142/(C142/2)</f>
        <v>19845.9222222222</v>
      </c>
      <c r="L142" s="74" t="n">
        <f aca="false">E142*(C142-2*F142)</f>
        <v>305</v>
      </c>
      <c r="M142" s="77" t="s">
        <v>435</v>
      </c>
      <c r="N142" s="77"/>
      <c r="O142" s="1" t="n">
        <f aca="false">(2*F142*D142^3+(C142-2*F142)*E142^3)/12</f>
        <v>75302.0833333333</v>
      </c>
      <c r="P142" s="1" t="n">
        <f aca="false">IFERROR(SQRT(J142/H142),"")</f>
        <v>29.3321044365108</v>
      </c>
      <c r="Q142" s="1" t="n">
        <f aca="false">IFERROR(SQRT(O142/H142),"")</f>
        <v>9.33029643683572</v>
      </c>
    </row>
    <row r="143" customFormat="false" ht="32.25" hidden="false" customHeight="true" outlineLevel="0" collapsed="false">
      <c r="A143" s="74" t="s">
        <v>576</v>
      </c>
      <c r="B143" s="75" t="s">
        <v>420</v>
      </c>
      <c r="C143" s="74" t="n">
        <v>100</v>
      </c>
      <c r="D143" s="74" t="n">
        <v>50</v>
      </c>
      <c r="E143" s="74" t="n">
        <v>5</v>
      </c>
      <c r="F143" s="74" t="n">
        <v>7.5</v>
      </c>
      <c r="G143" s="74" t="n">
        <v>0</v>
      </c>
      <c r="H143" s="74" t="n">
        <f aca="false">2*D143*F143+(C143-2*F143)*E143</f>
        <v>1175</v>
      </c>
      <c r="I143" s="74" t="n">
        <f aca="false">H143*DB_Settings!$G$5</f>
        <v>9.22375</v>
      </c>
      <c r="J143" s="74" t="n">
        <f aca="false">(D143*C143^3-(D143-E143)*(C143-2*F143)^3)/12</f>
        <v>1863697.91666667</v>
      </c>
      <c r="K143" s="74" t="n">
        <f aca="false">J143/(C143/2)</f>
        <v>37273.9583333333</v>
      </c>
      <c r="L143" s="74" t="n">
        <f aca="false">E143*(C143-2*F143)</f>
        <v>425</v>
      </c>
      <c r="M143" s="77" t="s">
        <v>435</v>
      </c>
      <c r="N143" s="77"/>
      <c r="O143" s="1" t="n">
        <f aca="false">(2*F143*D143^3+(C143-2*F143)*E143^3)/12</f>
        <v>157135.416666667</v>
      </c>
      <c r="P143" s="1" t="n">
        <f aca="false">IFERROR(SQRT(J143/H143),"")</f>
        <v>39.8261959836089</v>
      </c>
      <c r="Q143" s="1" t="n">
        <f aca="false">IFERROR(SQRT(O143/H143),"")</f>
        <v>11.5642669246064</v>
      </c>
    </row>
    <row r="144" customFormat="false" ht="32.25" hidden="false" customHeight="true" outlineLevel="0" collapsed="false">
      <c r="A144" s="74" t="s">
        <v>577</v>
      </c>
      <c r="B144" s="75" t="s">
        <v>420</v>
      </c>
      <c r="C144" s="74" t="n">
        <v>125</v>
      </c>
      <c r="D144" s="74" t="n">
        <v>65</v>
      </c>
      <c r="E144" s="74" t="n">
        <v>6</v>
      </c>
      <c r="F144" s="74" t="n">
        <v>8</v>
      </c>
      <c r="G144" s="74" t="n">
        <v>0</v>
      </c>
      <c r="H144" s="74" t="n">
        <f aca="false">2*D144*F144+(C144-2*F144)*E144</f>
        <v>1694</v>
      </c>
      <c r="I144" s="74" t="n">
        <f aca="false">H144*DB_Settings!$G$5</f>
        <v>13.2979</v>
      </c>
      <c r="J144" s="74" t="n">
        <f aca="false">(D144*C144^3-(D144-E144)*(C144-2*F144)^3)/12</f>
        <v>4212201.16666667</v>
      </c>
      <c r="K144" s="74" t="n">
        <f aca="false">J144/(C144/2)</f>
        <v>67395.2186666667</v>
      </c>
      <c r="L144" s="74" t="n">
        <f aca="false">E144*(C144-2*F144)</f>
        <v>654</v>
      </c>
      <c r="M144" s="77" t="s">
        <v>435</v>
      </c>
      <c r="N144" s="77"/>
      <c r="O144" s="1" t="n">
        <f aca="false">(2*F144*D144^3+(C144-2*F144)*E144^3)/12</f>
        <v>368128.666666667</v>
      </c>
      <c r="P144" s="1" t="n">
        <f aca="false">IFERROR(SQRT(J144/H144),"")</f>
        <v>49.8652325844422</v>
      </c>
      <c r="Q144" s="1" t="n">
        <f aca="false">IFERROR(SQRT(O144/H144),"")</f>
        <v>14.7415488499371</v>
      </c>
    </row>
    <row r="145" customFormat="false" ht="32.25" hidden="false" customHeight="true" outlineLevel="0" collapsed="false">
      <c r="A145" s="74" t="s">
        <v>578</v>
      </c>
      <c r="B145" s="75" t="s">
        <v>420</v>
      </c>
      <c r="C145" s="74" t="n">
        <v>150</v>
      </c>
      <c r="D145" s="74" t="n">
        <v>75</v>
      </c>
      <c r="E145" s="74" t="n">
        <v>6.5</v>
      </c>
      <c r="F145" s="74" t="n">
        <v>10</v>
      </c>
      <c r="G145" s="74" t="n">
        <v>0</v>
      </c>
      <c r="H145" s="74" t="n">
        <f aca="false">2*D145*F145+(C145-2*F145)*E145</f>
        <v>2345</v>
      </c>
      <c r="I145" s="74" t="n">
        <f aca="false">H145*DB_Settings!$G$5</f>
        <v>18.40825</v>
      </c>
      <c r="J145" s="74" t="n">
        <f aca="false">(D145*C145^3-(D145-E145)*(C145-2*F145)^3)/12</f>
        <v>8552541.66666667</v>
      </c>
      <c r="K145" s="74" t="n">
        <f aca="false">J145/(C145/2)</f>
        <v>114033.888888889</v>
      </c>
      <c r="L145" s="74" t="n">
        <f aca="false">E145*(C145-2*F145)</f>
        <v>845</v>
      </c>
      <c r="M145" s="77" t="s">
        <v>435</v>
      </c>
      <c r="N145" s="77"/>
      <c r="O145" s="1" t="n">
        <f aca="false">(2*F145*D145^3+(C145-2*F145)*E145^3)/12</f>
        <v>706100.104166667</v>
      </c>
      <c r="P145" s="1" t="n">
        <f aca="false">IFERROR(SQRT(J145/H145),"")</f>
        <v>60.3915499344286</v>
      </c>
      <c r="Q145" s="1" t="n">
        <f aca="false">IFERROR(SQRT(O145/H145),"")</f>
        <v>17.3524864623205</v>
      </c>
    </row>
    <row r="146" customFormat="false" ht="32.25" hidden="false" customHeight="true" outlineLevel="0" collapsed="false">
      <c r="A146" s="74" t="s">
        <v>579</v>
      </c>
      <c r="B146" s="75" t="s">
        <v>420</v>
      </c>
      <c r="C146" s="74" t="n">
        <v>150</v>
      </c>
      <c r="D146" s="74" t="n">
        <v>75</v>
      </c>
      <c r="E146" s="74" t="n">
        <v>9</v>
      </c>
      <c r="F146" s="74" t="n">
        <v>12.5</v>
      </c>
      <c r="G146" s="74" t="n">
        <v>0</v>
      </c>
      <c r="H146" s="74" t="n">
        <f aca="false">2*D146*F146+(C146-2*F146)*E146</f>
        <v>3000</v>
      </c>
      <c r="I146" s="74" t="n">
        <f aca="false">H146*DB_Settings!$G$5</f>
        <v>23.55</v>
      </c>
      <c r="J146" s="74" t="n">
        <f aca="false">(D146*C146^3-(D146-E146)*(C146-2*F146)^3)/12</f>
        <v>10351562.5</v>
      </c>
      <c r="K146" s="74" t="n">
        <f aca="false">J146/(C146/2)</f>
        <v>138020.833333333</v>
      </c>
      <c r="L146" s="74" t="n">
        <f aca="false">E146*(C146-2*F146)</f>
        <v>1125</v>
      </c>
      <c r="M146" s="77" t="s">
        <v>435</v>
      </c>
      <c r="N146" s="77"/>
      <c r="O146" s="1" t="n">
        <f aca="false">(2*F146*D146^3+(C146-2*F146)*E146^3)/12</f>
        <v>886500</v>
      </c>
      <c r="P146" s="1" t="n">
        <f aca="false">IFERROR(SQRT(J146/H146),"")</f>
        <v>58.7411340827987</v>
      </c>
      <c r="Q146" s="1" t="n">
        <f aca="false">IFERROR(SQRT(O146/H146),"")</f>
        <v>17.1901134376711</v>
      </c>
    </row>
    <row r="147" customFormat="false" ht="32.25" hidden="false" customHeight="true" outlineLevel="0" collapsed="false">
      <c r="A147" s="74" t="s">
        <v>580</v>
      </c>
      <c r="B147" s="75" t="s">
        <v>420</v>
      </c>
      <c r="C147" s="74" t="n">
        <v>180</v>
      </c>
      <c r="D147" s="74" t="n">
        <v>75</v>
      </c>
      <c r="E147" s="74" t="n">
        <v>7</v>
      </c>
      <c r="F147" s="74" t="n">
        <v>10.5</v>
      </c>
      <c r="G147" s="74" t="n">
        <v>0</v>
      </c>
      <c r="H147" s="74" t="n">
        <f aca="false">2*D147*F147+(C147-2*F147)*E147</f>
        <v>2688</v>
      </c>
      <c r="I147" s="74" t="n">
        <f aca="false">H147*DB_Settings!$G$5</f>
        <v>21.1008</v>
      </c>
      <c r="J147" s="74" t="n">
        <f aca="false">(D147*C147^3-(D147-E147)*(C147-2*F147)^3)/12</f>
        <v>13671819</v>
      </c>
      <c r="K147" s="74" t="n">
        <f aca="false">J147/(C147/2)</f>
        <v>151909.1</v>
      </c>
      <c r="L147" s="74" t="n">
        <f aca="false">E147*(C147-2*F147)</f>
        <v>1113</v>
      </c>
      <c r="M147" s="77" t="s">
        <v>435</v>
      </c>
      <c r="N147" s="77"/>
      <c r="O147" s="1" t="n">
        <f aca="false">(2*F147*D147^3+(C147-2*F147)*E147^3)/12</f>
        <v>742826</v>
      </c>
      <c r="P147" s="1" t="n">
        <f aca="false">IFERROR(SQRT(J147/H147),"")</f>
        <v>71.3178952823203</v>
      </c>
      <c r="Q147" s="1" t="n">
        <f aca="false">IFERROR(SQRT(O147/H147),"")</f>
        <v>16.623746819936</v>
      </c>
    </row>
    <row r="148" customFormat="false" ht="32.25" hidden="false" customHeight="true" outlineLevel="0" collapsed="false">
      <c r="A148" s="74" t="s">
        <v>581</v>
      </c>
      <c r="B148" s="75" t="s">
        <v>420</v>
      </c>
      <c r="C148" s="74" t="n">
        <v>200</v>
      </c>
      <c r="D148" s="74" t="n">
        <v>80</v>
      </c>
      <c r="E148" s="74" t="n">
        <v>7.5</v>
      </c>
      <c r="F148" s="74" t="n">
        <v>11</v>
      </c>
      <c r="G148" s="74" t="n">
        <v>0</v>
      </c>
      <c r="H148" s="74" t="n">
        <f aca="false">2*D148*F148+(C148-2*F148)*E148</f>
        <v>3095</v>
      </c>
      <c r="I148" s="74" t="n">
        <f aca="false">H148*DB_Settings!$G$5</f>
        <v>24.29575</v>
      </c>
      <c r="J148" s="74" t="n">
        <f aca="false">(D148*C148^3-(D148-E148)*(C148-2*F148)^3)/12</f>
        <v>19259831.6666667</v>
      </c>
      <c r="K148" s="74" t="n">
        <f aca="false">J148/(C148/2)</f>
        <v>192598.316666667</v>
      </c>
      <c r="L148" s="74" t="n">
        <f aca="false">E148*(C148-2*F148)</f>
        <v>1335</v>
      </c>
      <c r="M148" s="77" t="s">
        <v>435</v>
      </c>
      <c r="N148" s="77"/>
      <c r="O148" s="1" t="n">
        <f aca="false">(2*F148*D148^3+(C148-2*F148)*E148^3)/12</f>
        <v>944924.479166667</v>
      </c>
      <c r="P148" s="1" t="n">
        <f aca="false">IFERROR(SQRT(J148/H148),"")</f>
        <v>78.8852700912668</v>
      </c>
      <c r="Q148" s="1" t="n">
        <f aca="false">IFERROR(SQRT(O148/H148),"")</f>
        <v>17.4730300293347</v>
      </c>
    </row>
    <row r="149" customFormat="false" ht="32.25" hidden="false" customHeight="true" outlineLevel="0" collapsed="false">
      <c r="A149" s="74" t="s">
        <v>582</v>
      </c>
      <c r="B149" s="75" t="s">
        <v>420</v>
      </c>
      <c r="C149" s="74" t="n">
        <v>200</v>
      </c>
      <c r="D149" s="74" t="n">
        <v>90</v>
      </c>
      <c r="E149" s="74" t="n">
        <v>8</v>
      </c>
      <c r="F149" s="74" t="n">
        <v>13.5</v>
      </c>
      <c r="G149" s="74" t="n">
        <v>0</v>
      </c>
      <c r="H149" s="74" t="n">
        <f aca="false">2*D149*F149+(C149-2*F149)*E149</f>
        <v>3814</v>
      </c>
      <c r="I149" s="74" t="n">
        <f aca="false">H149*DB_Settings!$G$5</f>
        <v>29.9399</v>
      </c>
      <c r="J149" s="74" t="n">
        <f aca="false">(D149*C149^3-(D149-E149)*(C149-2*F149)^3)/12</f>
        <v>24618933.8333333</v>
      </c>
      <c r="K149" s="74" t="n">
        <f aca="false">J149/(C149/2)</f>
        <v>246189.338333333</v>
      </c>
      <c r="L149" s="74" t="n">
        <f aca="false">E149*(C149-2*F149)</f>
        <v>1384</v>
      </c>
      <c r="M149" s="77" t="s">
        <v>435</v>
      </c>
      <c r="N149" s="77"/>
      <c r="O149" s="1" t="n">
        <f aca="false">(2*F149*D149^3+(C149-2*F149)*E149^3)/12</f>
        <v>1647631.33333333</v>
      </c>
      <c r="P149" s="1" t="n">
        <f aca="false">IFERROR(SQRT(J149/H149),"")</f>
        <v>80.3423029332759</v>
      </c>
      <c r="Q149" s="1" t="n">
        <f aca="false">IFERROR(SQRT(O149/H149),"")</f>
        <v>20.7845045679369</v>
      </c>
    </row>
    <row r="150" customFormat="false" ht="32.25" hidden="false" customHeight="true" outlineLevel="0" collapsed="false">
      <c r="A150" s="74" t="s">
        <v>583</v>
      </c>
      <c r="B150" s="75" t="s">
        <v>420</v>
      </c>
      <c r="C150" s="74" t="n">
        <v>250</v>
      </c>
      <c r="D150" s="74" t="n">
        <v>90</v>
      </c>
      <c r="E150" s="74" t="n">
        <v>9</v>
      </c>
      <c r="F150" s="74" t="n">
        <v>13</v>
      </c>
      <c r="G150" s="74" t="n">
        <v>0</v>
      </c>
      <c r="H150" s="74" t="n">
        <f aca="false">2*D150*F150+(C150-2*F150)*E150</f>
        <v>4356</v>
      </c>
      <c r="I150" s="74" t="n">
        <f aca="false">H150*DB_Settings!$G$5</f>
        <v>34.1946</v>
      </c>
      <c r="J150" s="74" t="n">
        <f aca="false">(D150*C150^3-(D150-E150)*(C150-2*F150)^3)/12</f>
        <v>41321388</v>
      </c>
      <c r="K150" s="74" t="n">
        <f aca="false">J150/(C150/2)</f>
        <v>330571.104</v>
      </c>
      <c r="L150" s="74" t="n">
        <f aca="false">E150*(C150-2*F150)</f>
        <v>2016</v>
      </c>
      <c r="M150" s="77" t="s">
        <v>435</v>
      </c>
      <c r="N150" s="77"/>
      <c r="O150" s="1" t="n">
        <f aca="false">(2*F150*D150^3+(C150-2*F150)*E150^3)/12</f>
        <v>1593108</v>
      </c>
      <c r="P150" s="1" t="n">
        <f aca="false">IFERROR(SQRT(J150/H150),"")</f>
        <v>97.3965368965911</v>
      </c>
      <c r="Q150" s="1" t="n">
        <f aca="false">IFERROR(SQRT(O150/H150),"")</f>
        <v>19.123997299918</v>
      </c>
    </row>
    <row r="151" customFormat="false" ht="32.25" hidden="false" customHeight="true" outlineLevel="0" collapsed="false">
      <c r="A151" s="74" t="s">
        <v>584</v>
      </c>
      <c r="B151" s="75" t="s">
        <v>420</v>
      </c>
      <c r="C151" s="74" t="n">
        <v>250</v>
      </c>
      <c r="D151" s="74" t="n">
        <v>90</v>
      </c>
      <c r="E151" s="74" t="n">
        <v>11</v>
      </c>
      <c r="F151" s="74" t="n">
        <v>14.5</v>
      </c>
      <c r="G151" s="74" t="n">
        <v>0</v>
      </c>
      <c r="H151" s="74" t="n">
        <f aca="false">2*D151*F151+(C151-2*F151)*E151</f>
        <v>5041</v>
      </c>
      <c r="I151" s="74" t="n">
        <f aca="false">H151*DB_Settings!$G$5</f>
        <v>39.57185</v>
      </c>
      <c r="J151" s="74" t="n">
        <f aca="false">(D151*C151^3-(D151-E151)*(C151-2*F151)^3)/12</f>
        <v>46127915.0833333</v>
      </c>
      <c r="K151" s="74" t="n">
        <f aca="false">J151/(C151/2)</f>
        <v>369023.320666667</v>
      </c>
      <c r="L151" s="74" t="n">
        <f aca="false">E151*(C151-2*F151)</f>
        <v>2431</v>
      </c>
      <c r="M151" s="77" t="s">
        <v>435</v>
      </c>
      <c r="N151" s="77"/>
      <c r="O151" s="1" t="n">
        <f aca="false">(2*F151*D151^3+(C151-2*F151)*E151^3)/12</f>
        <v>1786262.58333333</v>
      </c>
      <c r="P151" s="1" t="n">
        <f aca="false">IFERROR(SQRT(J151/H151),"")</f>
        <v>95.6584994593392</v>
      </c>
      <c r="Q151" s="1" t="n">
        <f aca="false">IFERROR(SQRT(O151/H151),"")</f>
        <v>18.8241034929607</v>
      </c>
    </row>
    <row r="152" customFormat="false" ht="32.25" hidden="false" customHeight="true" outlineLevel="0" collapsed="false">
      <c r="A152" s="74" t="s">
        <v>585</v>
      </c>
      <c r="B152" s="75" t="s">
        <v>420</v>
      </c>
      <c r="C152" s="74" t="n">
        <v>300</v>
      </c>
      <c r="D152" s="74" t="n">
        <v>90</v>
      </c>
      <c r="E152" s="74" t="n">
        <v>9</v>
      </c>
      <c r="F152" s="74" t="n">
        <v>13</v>
      </c>
      <c r="G152" s="74" t="n">
        <v>0</v>
      </c>
      <c r="H152" s="74" t="n">
        <f aca="false">2*D152*F152+(C152-2*F152)*E152</f>
        <v>4806</v>
      </c>
      <c r="I152" s="74" t="n">
        <f aca="false">H152*DB_Settings!$G$5</f>
        <v>37.7271</v>
      </c>
      <c r="J152" s="74" t="n">
        <f aca="false">(D152*C152^3-(D152-E152)*(C152-2*F152)^3)/12</f>
        <v>63646938</v>
      </c>
      <c r="K152" s="74" t="n">
        <f aca="false">J152/(C152/2)</f>
        <v>424312.92</v>
      </c>
      <c r="L152" s="74" t="n">
        <f aca="false">E152*(C152-2*F152)</f>
        <v>2466</v>
      </c>
      <c r="M152" s="77" t="s">
        <v>435</v>
      </c>
      <c r="N152" s="77"/>
      <c r="O152" s="1" t="n">
        <f aca="false">(2*F152*D152^3+(C152-2*F152)*E152^3)/12</f>
        <v>1596145.5</v>
      </c>
      <c r="P152" s="1" t="n">
        <f aca="false">IFERROR(SQRT(J152/H152),"")</f>
        <v>115.079210629467</v>
      </c>
      <c r="Q152" s="1" t="n">
        <f aca="false">IFERROR(SQRT(O152/H152),"")</f>
        <v>18.2240272316337</v>
      </c>
    </row>
    <row r="153" customFormat="false" ht="32.25" hidden="false" customHeight="true" outlineLevel="0" collapsed="false">
      <c r="A153" s="74" t="s">
        <v>586</v>
      </c>
      <c r="B153" s="75" t="s">
        <v>420</v>
      </c>
      <c r="C153" s="74" t="n">
        <v>300</v>
      </c>
      <c r="D153" s="74" t="n">
        <v>90</v>
      </c>
      <c r="E153" s="74" t="n">
        <v>10</v>
      </c>
      <c r="F153" s="74" t="n">
        <v>15.5</v>
      </c>
      <c r="G153" s="74" t="n">
        <v>0</v>
      </c>
      <c r="H153" s="74" t="n">
        <f aca="false">2*D153*F153+(C153-2*F153)*E153</f>
        <v>5480</v>
      </c>
      <c r="I153" s="74" t="n">
        <f aca="false">H153*DB_Settings!$G$5</f>
        <v>43.018</v>
      </c>
      <c r="J153" s="74" t="n">
        <f aca="false">(D153*C153^3-(D153-E153)*(C153-2*F153)^3)/12</f>
        <v>72732606.6666667</v>
      </c>
      <c r="K153" s="74" t="n">
        <f aca="false">J153/(C153/2)</f>
        <v>484884.044444445</v>
      </c>
      <c r="L153" s="74" t="n">
        <f aca="false">E153*(C153-2*F153)</f>
        <v>2690</v>
      </c>
      <c r="M153" s="77" t="s">
        <v>435</v>
      </c>
      <c r="N153" s="77"/>
      <c r="O153" s="1" t="n">
        <f aca="false">(2*F153*D153^3+(C153-2*F153)*E153^3)/12</f>
        <v>1905666.66666667</v>
      </c>
      <c r="P153" s="1" t="n">
        <f aca="false">IFERROR(SQRT(J153/H153),"")</f>
        <v>115.205787525275</v>
      </c>
      <c r="Q153" s="1" t="n">
        <f aca="false">IFERROR(SQRT(O153/H153),"")</f>
        <v>18.6480398896907</v>
      </c>
    </row>
    <row r="154" customFormat="false" ht="32.25" hidden="false" customHeight="true" outlineLevel="0" collapsed="false">
      <c r="A154" s="74" t="s">
        <v>587</v>
      </c>
      <c r="B154" s="75" t="s">
        <v>420</v>
      </c>
      <c r="C154" s="74" t="n">
        <v>300</v>
      </c>
      <c r="D154" s="74" t="n">
        <v>90</v>
      </c>
      <c r="E154" s="74" t="n">
        <v>12</v>
      </c>
      <c r="F154" s="74" t="n">
        <v>16</v>
      </c>
      <c r="G154" s="74" t="n">
        <v>0</v>
      </c>
      <c r="H154" s="74" t="n">
        <f aca="false">2*D154*F154+(C154-2*F154)*E154</f>
        <v>6096</v>
      </c>
      <c r="I154" s="74" t="n">
        <f aca="false">H154*DB_Settings!$G$5</f>
        <v>47.8536</v>
      </c>
      <c r="J154" s="74" t="n">
        <f aca="false">(D154*C154^3-(D154-E154)*(C154-2*F154)^3)/12</f>
        <v>77382592</v>
      </c>
      <c r="K154" s="74" t="n">
        <f aca="false">J154/(C154/2)</f>
        <v>515883.946666667</v>
      </c>
      <c r="L154" s="74" t="n">
        <f aca="false">E154*(C154-2*F154)</f>
        <v>3216</v>
      </c>
      <c r="M154" s="77" t="s">
        <v>435</v>
      </c>
      <c r="N154" s="77"/>
      <c r="O154" s="1" t="n">
        <f aca="false">(2*F154*D154^3+(C154-2*F154)*E154^3)/12</f>
        <v>1982592</v>
      </c>
      <c r="P154" s="1" t="n">
        <f aca="false">IFERROR(SQRT(J154/H154),"")</f>
        <v>112.667629559941</v>
      </c>
      <c r="Q154" s="1" t="n">
        <f aca="false">IFERROR(SQRT(O154/H154),"")</f>
        <v>18.0340884564952</v>
      </c>
    </row>
    <row r="155" customFormat="false" ht="32.25" hidden="false" customHeight="true" outlineLevel="0" collapsed="false">
      <c r="A155" s="74" t="s">
        <v>588</v>
      </c>
      <c r="B155" s="75" t="s">
        <v>420</v>
      </c>
      <c r="C155" s="74" t="n">
        <v>380</v>
      </c>
      <c r="D155" s="74" t="n">
        <v>100</v>
      </c>
      <c r="E155" s="74" t="n">
        <v>10.5</v>
      </c>
      <c r="F155" s="74" t="n">
        <v>16</v>
      </c>
      <c r="G155" s="74" t="n">
        <v>0</v>
      </c>
      <c r="H155" s="74" t="n">
        <f aca="false">2*D155*F155+(C155-2*F155)*E155</f>
        <v>6854</v>
      </c>
      <c r="I155" s="74" t="n">
        <f aca="false">H155*DB_Settings!$G$5</f>
        <v>53.8039</v>
      </c>
      <c r="J155" s="74" t="n">
        <f aca="false">(D155*C155^3-(D155-E155)*(C155-2*F155)^3)/12</f>
        <v>142941234.666667</v>
      </c>
      <c r="K155" s="74" t="n">
        <f aca="false">J155/(C155/2)</f>
        <v>752322.287719298</v>
      </c>
      <c r="L155" s="74" t="n">
        <f aca="false">E155*(C155-2*F155)</f>
        <v>3654</v>
      </c>
      <c r="M155" s="77" t="s">
        <v>435</v>
      </c>
      <c r="N155" s="77"/>
      <c r="O155" s="1" t="n">
        <f aca="false">(2*F155*D155^3+(C155-2*F155)*E155^3)/12</f>
        <v>2700237.79166667</v>
      </c>
      <c r="P155" s="1" t="n">
        <f aca="false">IFERROR(SQRT(J155/H155),"")</f>
        <v>144.413141144025</v>
      </c>
      <c r="Q155" s="1" t="n">
        <f aca="false">IFERROR(SQRT(O155/H155),"")</f>
        <v>19.8485577651252</v>
      </c>
    </row>
    <row r="156" customFormat="false" ht="32.25" hidden="false" customHeight="true" outlineLevel="0" collapsed="false">
      <c r="A156" s="74" t="s">
        <v>589</v>
      </c>
      <c r="B156" s="75" t="s">
        <v>420</v>
      </c>
      <c r="C156" s="74" t="n">
        <v>380</v>
      </c>
      <c r="D156" s="74" t="n">
        <v>100</v>
      </c>
      <c r="E156" s="74" t="n">
        <v>13</v>
      </c>
      <c r="F156" s="74" t="n">
        <v>16.5</v>
      </c>
      <c r="G156" s="74" t="n">
        <v>0</v>
      </c>
      <c r="H156" s="74" t="n">
        <f aca="false">2*D156*F156+(C156-2*F156)*E156</f>
        <v>7811</v>
      </c>
      <c r="I156" s="74" t="n">
        <f aca="false">H156*DB_Settings!$G$5</f>
        <v>61.31635</v>
      </c>
      <c r="J156" s="74" t="n">
        <f aca="false">(D156*C156^3-(D156-E156)*(C156-2*F156)^3)/12</f>
        <v>154347724.916667</v>
      </c>
      <c r="K156" s="74" t="n">
        <f aca="false">J156/(C156/2)</f>
        <v>812356.446929825</v>
      </c>
      <c r="L156" s="74" t="n">
        <f aca="false">E156*(C156-2*F156)</f>
        <v>4511</v>
      </c>
      <c r="M156" s="77" t="s">
        <v>435</v>
      </c>
      <c r="N156" s="77"/>
      <c r="O156" s="1" t="n">
        <f aca="false">(2*F156*D156^3+(C156-2*F156)*E156^3)/12</f>
        <v>2813529.91666667</v>
      </c>
      <c r="P156" s="1" t="n">
        <f aca="false">IFERROR(SQRT(J156/H156),"")</f>
        <v>140.571344048012</v>
      </c>
      <c r="Q156" s="1" t="n">
        <f aca="false">IFERROR(SQRT(O156/H156),"")</f>
        <v>18.9789617187826</v>
      </c>
    </row>
    <row r="157" customFormat="false" ht="32.25" hidden="false" customHeight="true" outlineLevel="0" collapsed="false">
      <c r="A157" s="74" t="s">
        <v>590</v>
      </c>
      <c r="B157" s="75" t="s">
        <v>420</v>
      </c>
      <c r="C157" s="74" t="n">
        <v>380</v>
      </c>
      <c r="D157" s="74" t="n">
        <v>100</v>
      </c>
      <c r="E157" s="74" t="n">
        <v>13</v>
      </c>
      <c r="F157" s="74" t="n">
        <v>20</v>
      </c>
      <c r="G157" s="74" t="n">
        <v>0</v>
      </c>
      <c r="H157" s="74" t="n">
        <f aca="false">2*D157*F157+(C157-2*F157)*E157</f>
        <v>8420</v>
      </c>
      <c r="I157" s="74" t="n">
        <f aca="false">H157*DB_Settings!$G$5</f>
        <v>66.097</v>
      </c>
      <c r="J157" s="74" t="n">
        <f aca="false">(D157*C157^3-(D157-E157)*(C157-2*F157)^3)/12</f>
        <v>172312666.666667</v>
      </c>
      <c r="K157" s="74" t="n">
        <f aca="false">J157/(C157/2)</f>
        <v>906908.771929825</v>
      </c>
      <c r="L157" s="74" t="n">
        <f aca="false">E157*(C157-2*F157)</f>
        <v>4420</v>
      </c>
      <c r="M157" s="77" t="s">
        <v>435</v>
      </c>
      <c r="N157" s="77"/>
      <c r="O157" s="1" t="n">
        <f aca="false">(2*F157*D157^3+(C157-2*F157)*E157^3)/12</f>
        <v>3395581.66666667</v>
      </c>
      <c r="P157" s="1" t="n">
        <f aca="false">IFERROR(SQRT(J157/H157),"")</f>
        <v>143.054840017992</v>
      </c>
      <c r="Q157" s="1" t="n">
        <f aca="false">IFERROR(SQRT(O157/H157),"")</f>
        <v>20.081726329756</v>
      </c>
    </row>
    <row r="158" customFormat="false" ht="16.5" hidden="false" customHeight="true" outlineLevel="0" collapsed="false">
      <c r="A158" s="74" t="s">
        <v>591</v>
      </c>
      <c r="B158" s="74" t="s">
        <v>424</v>
      </c>
      <c r="C158" s="74" t="n">
        <v>60</v>
      </c>
      <c r="D158" s="74" t="n">
        <v>30</v>
      </c>
      <c r="E158" s="74" t="n">
        <v>1.6</v>
      </c>
      <c r="F158" s="74" t="n">
        <v>1.6</v>
      </c>
      <c r="G158" s="74" t="n">
        <v>10</v>
      </c>
      <c r="H158" s="74" t="n">
        <f aca="false">E158*(C158-2*F158)+2*D158*F158+2*G158*F158</f>
        <v>218.88</v>
      </c>
      <c r="I158" s="74" t="n">
        <f aca="false">H158*DB_Settings!$G$5</f>
        <v>1.718208</v>
      </c>
      <c r="J158" s="74" t="n">
        <f aca="false">E158*(C158-2*F158)^3/12+2*(D158*F158^3/12+D158*F158*(C158/2-F158/2)^2)+2*(F158*G158^3/12+F158*G158*(C158/2-F158-G158/2)^2)</f>
        <v>124095.8976</v>
      </c>
      <c r="K158" s="74" t="n">
        <f aca="false">J158/(C158/2)</f>
        <v>4136.52992</v>
      </c>
      <c r="L158" s="74" t="n">
        <f aca="false">E158*(C158-2*F158)</f>
        <v>90.88</v>
      </c>
      <c r="M158" s="78" t="s">
        <v>592</v>
      </c>
      <c r="N158" s="78"/>
      <c r="O158" s="1" t="n">
        <f aca="false">(2*F158*D158^3+(C158-2*F158)*E158^3)/12</f>
        <v>7219.38773333333</v>
      </c>
      <c r="P158" s="1" t="n">
        <f aca="false">IFERROR(SQRT(J158/H158),"")</f>
        <v>23.8108923917443</v>
      </c>
      <c r="Q158" s="1" t="n">
        <f aca="false">IFERROR(SQRT(O158/H158),"")</f>
        <v>5.7431101191041</v>
      </c>
    </row>
    <row r="159" customFormat="false" ht="16.5" hidden="false" customHeight="true" outlineLevel="0" collapsed="false">
      <c r="A159" s="74" t="s">
        <v>593</v>
      </c>
      <c r="B159" s="74" t="s">
        <v>424</v>
      </c>
      <c r="C159" s="74" t="n">
        <v>60</v>
      </c>
      <c r="D159" s="74" t="n">
        <v>30</v>
      </c>
      <c r="E159" s="74" t="n">
        <v>2</v>
      </c>
      <c r="F159" s="74" t="n">
        <v>2</v>
      </c>
      <c r="G159" s="74" t="n">
        <v>10</v>
      </c>
      <c r="H159" s="74" t="n">
        <f aca="false">E159*(C159-2*F159)+2*D159*F159+2*G159*F159</f>
        <v>272</v>
      </c>
      <c r="I159" s="74" t="n">
        <f aca="false">H159*DB_Settings!$G$5</f>
        <v>2.1352</v>
      </c>
      <c r="J159" s="74" t="n">
        <f aca="false">E159*(C159-2*F159)^3/12+2*(D159*F159^3/12+D159*F159*(C159/2-F159/2)^2)+2*(F159*G159^3/12+F159*G159*(C159/2-F159-G159/2)^2)</f>
        <v>151722.666666667</v>
      </c>
      <c r="K159" s="74" t="n">
        <f aca="false">J159/(C159/2)</f>
        <v>5057.42222222222</v>
      </c>
      <c r="L159" s="74" t="n">
        <f aca="false">E159*(C159-2*F159)</f>
        <v>112</v>
      </c>
      <c r="M159" s="78" t="s">
        <v>592</v>
      </c>
      <c r="N159" s="78"/>
      <c r="O159" s="1" t="n">
        <f aca="false">(2*F159*D159^3+(C159-2*F159)*E159^3)/12</f>
        <v>9037.33333333333</v>
      </c>
      <c r="P159" s="1" t="n">
        <f aca="false">IFERROR(SQRT(J159/H159),"")</f>
        <v>23.6178729264222</v>
      </c>
      <c r="Q159" s="1" t="n">
        <f aca="false">IFERROR(SQRT(O159/H159),"")</f>
        <v>5.76415563600415</v>
      </c>
    </row>
    <row r="160" customFormat="false" ht="16.5" hidden="false" customHeight="true" outlineLevel="0" collapsed="false">
      <c r="A160" s="74" t="s">
        <v>594</v>
      </c>
      <c r="B160" s="74" t="s">
        <v>424</v>
      </c>
      <c r="C160" s="74" t="n">
        <v>60</v>
      </c>
      <c r="D160" s="74" t="n">
        <v>30</v>
      </c>
      <c r="E160" s="74" t="n">
        <v>2.3</v>
      </c>
      <c r="F160" s="74" t="n">
        <v>2.3</v>
      </c>
      <c r="G160" s="74" t="n">
        <v>10</v>
      </c>
      <c r="H160" s="74" t="n">
        <f aca="false">E160*(C160-2*F160)+2*D160*F160+2*G160*F160</f>
        <v>311.42</v>
      </c>
      <c r="I160" s="74" t="n">
        <f aca="false">H160*DB_Settings!$G$5</f>
        <v>2.444647</v>
      </c>
      <c r="J160" s="74" t="n">
        <f aca="false">E160*(C160-2*F160)^3/12+2*(D160*F160^3/12+D160*F160*(C160/2-F160/2)^2)+2*(F160*G160^3/12+F160*G160*(C160/2-F160-G160/2)^2)</f>
        <v>171597.377266667</v>
      </c>
      <c r="K160" s="74" t="n">
        <f aca="false">J160/(C160/2)</f>
        <v>5719.91257555556</v>
      </c>
      <c r="L160" s="74" t="n">
        <f aca="false">E160*(C160-2*F160)</f>
        <v>127.42</v>
      </c>
      <c r="M160" s="78" t="s">
        <v>592</v>
      </c>
      <c r="N160" s="78"/>
      <c r="O160" s="1" t="n">
        <f aca="false">(2*F160*D160^3+(C160-2*F160)*E160^3)/12</f>
        <v>10406.1709833333</v>
      </c>
      <c r="P160" s="1" t="n">
        <f aca="false">IFERROR(SQRT(J160/H160),"")</f>
        <v>23.4737282566461</v>
      </c>
      <c r="Q160" s="1" t="n">
        <f aca="false">IFERROR(SQRT(O160/H160),"")</f>
        <v>5.78059081601321</v>
      </c>
    </row>
    <row r="161" customFormat="false" ht="16.5" hidden="false" customHeight="true" outlineLevel="0" collapsed="false">
      <c r="A161" s="74" t="s">
        <v>595</v>
      </c>
      <c r="B161" s="74" t="s">
        <v>424</v>
      </c>
      <c r="C161" s="74" t="n">
        <v>70</v>
      </c>
      <c r="D161" s="74" t="n">
        <v>40</v>
      </c>
      <c r="E161" s="74" t="n">
        <v>1.6</v>
      </c>
      <c r="F161" s="74" t="n">
        <v>1.6</v>
      </c>
      <c r="G161" s="74" t="n">
        <v>25</v>
      </c>
      <c r="H161" s="74" t="n">
        <f aca="false">E161*(C161-2*F161)+2*D161*F161+2*G161*F161</f>
        <v>314.88</v>
      </c>
      <c r="I161" s="74" t="n">
        <f aca="false">H161*DB_Settings!$G$5</f>
        <v>2.471808</v>
      </c>
      <c r="J161" s="74" t="n">
        <f aca="false">E161*(C161-2*F161)^3/12+2*(D161*F161^3/12+D161*F161*(C161/2-F161/2)^2)+2*(F161*G161^3/12+F161*G161*(C161/2-F161-G161/2)^2)</f>
        <v>228596.3776</v>
      </c>
      <c r="K161" s="74" t="n">
        <f aca="false">J161/(C161/2)</f>
        <v>6531.32507428571</v>
      </c>
      <c r="L161" s="74" t="n">
        <f aca="false">E161*(C161-2*F161)</f>
        <v>106.88</v>
      </c>
      <c r="M161" s="78" t="s">
        <v>592</v>
      </c>
      <c r="N161" s="78"/>
      <c r="O161" s="1" t="n">
        <f aca="false">(2*F161*D161^3+(C161-2*F161)*E161^3)/12</f>
        <v>17089.4677333333</v>
      </c>
      <c r="P161" s="1" t="n">
        <f aca="false">IFERROR(SQRT(J161/H161),"")</f>
        <v>26.9440039636557</v>
      </c>
      <c r="Q161" s="1" t="n">
        <f aca="false">IFERROR(SQRT(O161/H161),"")</f>
        <v>7.36701798080738</v>
      </c>
    </row>
    <row r="162" customFormat="false" ht="16.5" hidden="false" customHeight="true" outlineLevel="0" collapsed="false">
      <c r="A162" s="74" t="s">
        <v>596</v>
      </c>
      <c r="B162" s="74" t="s">
        <v>424</v>
      </c>
      <c r="C162" s="74" t="n">
        <v>75</v>
      </c>
      <c r="D162" s="74" t="n">
        <v>35</v>
      </c>
      <c r="E162" s="74" t="n">
        <v>2.3</v>
      </c>
      <c r="F162" s="74" t="n">
        <v>2.3</v>
      </c>
      <c r="G162" s="74" t="n">
        <v>15</v>
      </c>
      <c r="H162" s="74" t="n">
        <f aca="false">E162*(C162-2*F162)+2*D162*F162+2*G162*F162</f>
        <v>391.92</v>
      </c>
      <c r="I162" s="74" t="n">
        <f aca="false">H162*DB_Settings!$G$5</f>
        <v>3.076572</v>
      </c>
      <c r="J162" s="74" t="n">
        <f aca="false">E162*(C162-2*F162)^3/12+2*(D162*F162^3/12+D162*F162*(C162/2-F162/2)^2)+2*(F162*G162^3/12+F162*G162*(C162/2-F162-G162/2)^2)</f>
        <v>333915.7756</v>
      </c>
      <c r="K162" s="74" t="n">
        <f aca="false">J162/(C162/2)</f>
        <v>8904.42068266667</v>
      </c>
      <c r="L162" s="74" t="n">
        <f aca="false">E162*(C162-2*F162)</f>
        <v>161.92</v>
      </c>
      <c r="M162" s="78" t="s">
        <v>592</v>
      </c>
      <c r="N162" s="78"/>
      <c r="O162" s="1" t="n">
        <f aca="false">(2*F162*D162^3+(C162-2*F162)*E162^3)/12</f>
        <v>16506.7964</v>
      </c>
      <c r="P162" s="1" t="n">
        <f aca="false">IFERROR(SQRT(J162/H162),"")</f>
        <v>29.1890362239104</v>
      </c>
      <c r="Q162" s="1" t="n">
        <f aca="false">IFERROR(SQRT(O162/H162),"")</f>
        <v>6.48982048696662</v>
      </c>
    </row>
    <row r="163" customFormat="false" ht="16.5" hidden="false" customHeight="true" outlineLevel="0" collapsed="false">
      <c r="A163" s="74" t="s">
        <v>597</v>
      </c>
      <c r="B163" s="74" t="s">
        <v>424</v>
      </c>
      <c r="C163" s="74" t="n">
        <v>75</v>
      </c>
      <c r="D163" s="74" t="n">
        <v>45</v>
      </c>
      <c r="E163" s="74" t="n">
        <v>1.6</v>
      </c>
      <c r="F163" s="74" t="n">
        <v>1.6</v>
      </c>
      <c r="G163" s="74" t="n">
        <v>15</v>
      </c>
      <c r="H163" s="74" t="n">
        <f aca="false">E163*(C163-2*F163)+2*D163*F163+2*G163*F163</f>
        <v>306.88</v>
      </c>
      <c r="I163" s="74" t="n">
        <f aca="false">H163*DB_Settings!$G$5</f>
        <v>2.409008</v>
      </c>
      <c r="J163" s="74" t="n">
        <f aca="false">E163*(C163-2*F163)^3/12+2*(D163*F163^3/12+D163*F163*(C163/2-F163/2)^2)+2*(F163*G163^3/12+F163*G163*(C163/2-F163-G163/2)^2)</f>
        <v>282950.590933333</v>
      </c>
      <c r="K163" s="74" t="n">
        <f aca="false">J163/(C163/2)</f>
        <v>7545.34909155556</v>
      </c>
      <c r="L163" s="74" t="n">
        <f aca="false">E163*(C163-2*F163)</f>
        <v>114.88</v>
      </c>
      <c r="M163" s="78" t="s">
        <v>592</v>
      </c>
      <c r="N163" s="78"/>
      <c r="O163" s="1" t="n">
        <f aca="false">(2*F163*D163^3+(C163-2*F163)*E163^3)/12</f>
        <v>24324.5077333333</v>
      </c>
      <c r="P163" s="1" t="n">
        <f aca="false">IFERROR(SQRT(J163/H163),"")</f>
        <v>30.3648408976396</v>
      </c>
      <c r="Q163" s="1" t="n">
        <f aca="false">IFERROR(SQRT(O163/H163),"")</f>
        <v>8.90302795948718</v>
      </c>
    </row>
    <row r="164" customFormat="false" ht="16.5" hidden="false" customHeight="true" outlineLevel="0" collapsed="false">
      <c r="A164" s="74" t="s">
        <v>598</v>
      </c>
      <c r="B164" s="74" t="s">
        <v>424</v>
      </c>
      <c r="C164" s="74" t="n">
        <v>75</v>
      </c>
      <c r="D164" s="74" t="n">
        <v>45</v>
      </c>
      <c r="E164" s="74" t="n">
        <v>2</v>
      </c>
      <c r="F164" s="74" t="n">
        <v>2</v>
      </c>
      <c r="G164" s="74" t="n">
        <v>15</v>
      </c>
      <c r="H164" s="74" t="n">
        <f aca="false">E164*(C164-2*F164)+2*D164*F164+2*G164*F164</f>
        <v>382</v>
      </c>
      <c r="I164" s="74" t="n">
        <f aca="false">H164*DB_Settings!$G$5</f>
        <v>2.9987</v>
      </c>
      <c r="J164" s="74" t="n">
        <f aca="false">E164*(C164-2*F164)^3/12+2*(D164*F164^3/12+D164*F164*(C164/2-F164/2)^2)+2*(F164*G164^3/12+F164*G164*(C164/2-F164-G164/2)^2)</f>
        <v>347681.833333333</v>
      </c>
      <c r="K164" s="74" t="n">
        <f aca="false">J164/(C164/2)</f>
        <v>9271.51555555556</v>
      </c>
      <c r="L164" s="74" t="n">
        <f aca="false">E164*(C164-2*F164)</f>
        <v>142</v>
      </c>
      <c r="M164" s="78" t="s">
        <v>592</v>
      </c>
      <c r="N164" s="78"/>
      <c r="O164" s="1" t="n">
        <f aca="false">(2*F164*D164^3+(C164-2*F164)*E164^3)/12</f>
        <v>30422.3333333333</v>
      </c>
      <c r="P164" s="1" t="n">
        <f aca="false">IFERROR(SQRT(J164/H164),"")</f>
        <v>30.168889064146</v>
      </c>
      <c r="Q164" s="1" t="n">
        <f aca="false">IFERROR(SQRT(O164/H164),"")</f>
        <v>8.924103095317</v>
      </c>
    </row>
    <row r="165" customFormat="false" ht="16.5" hidden="false" customHeight="true" outlineLevel="0" collapsed="false">
      <c r="A165" s="74" t="s">
        <v>599</v>
      </c>
      <c r="B165" s="74" t="s">
        <v>424</v>
      </c>
      <c r="C165" s="74" t="n">
        <v>75</v>
      </c>
      <c r="D165" s="74" t="n">
        <v>45</v>
      </c>
      <c r="E165" s="74" t="n">
        <v>2.3</v>
      </c>
      <c r="F165" s="74" t="n">
        <v>2.3</v>
      </c>
      <c r="G165" s="74" t="n">
        <v>15</v>
      </c>
      <c r="H165" s="74" t="n">
        <f aca="false">E165*(C165-2*F165)+2*D165*F165+2*G165*F165</f>
        <v>437.92</v>
      </c>
      <c r="I165" s="74" t="n">
        <f aca="false">H165*DB_Settings!$G$5</f>
        <v>3.437672</v>
      </c>
      <c r="J165" s="74" t="n">
        <f aca="false">E165*(C165-2*F165)^3/12+2*(D165*F165^3/12+D165*F165*(C165/2-F165/2)^2)+2*(F165*G165^3/12+F165*G165*(C165/2-F165-G165/2)^2)</f>
        <v>394716.888933333</v>
      </c>
      <c r="K165" s="74" t="n">
        <f aca="false">J165/(C165/2)</f>
        <v>10525.7837048889</v>
      </c>
      <c r="L165" s="74" t="n">
        <f aca="false">E165*(C165-2*F165)</f>
        <v>161.92</v>
      </c>
      <c r="M165" s="78" t="s">
        <v>592</v>
      </c>
      <c r="N165" s="78"/>
      <c r="O165" s="1" t="n">
        <f aca="false">(2*F165*D165^3+(C165-2*F165)*E165^3)/12</f>
        <v>35002.6297333333</v>
      </c>
      <c r="P165" s="1" t="n">
        <f aca="false">IFERROR(SQRT(J165/H165),"")</f>
        <v>30.022403982632</v>
      </c>
      <c r="Q165" s="1" t="n">
        <f aca="false">IFERROR(SQRT(O165/H165),"")</f>
        <v>8.94031759567212</v>
      </c>
    </row>
    <row r="166" customFormat="false" ht="16.5" hidden="false" customHeight="true" outlineLevel="0" collapsed="false">
      <c r="A166" s="74" t="s">
        <v>600</v>
      </c>
      <c r="B166" s="74" t="s">
        <v>424</v>
      </c>
      <c r="C166" s="74" t="n">
        <v>90</v>
      </c>
      <c r="D166" s="74" t="n">
        <v>45</v>
      </c>
      <c r="E166" s="74" t="n">
        <v>1.6</v>
      </c>
      <c r="F166" s="74" t="n">
        <v>1.6</v>
      </c>
      <c r="G166" s="74" t="n">
        <v>20</v>
      </c>
      <c r="H166" s="74" t="n">
        <f aca="false">E166*(C166-2*F166)+2*D166*F166+2*G166*F166</f>
        <v>346.88</v>
      </c>
      <c r="I166" s="74" t="n">
        <f aca="false">H166*DB_Settings!$G$5</f>
        <v>2.723008</v>
      </c>
      <c r="J166" s="74" t="n">
        <f aca="false">E166*(C166-2*F166)^3/12+2*(D166*F166^3/12+D166*F166*(C166/2-F166/2)^2)+2*(F166*G166^3/12+F166*G166*(C166/2-F166-G166/2)^2)</f>
        <v>442080.324266667</v>
      </c>
      <c r="K166" s="74" t="n">
        <f aca="false">J166/(C166/2)</f>
        <v>9824.00720592593</v>
      </c>
      <c r="L166" s="74" t="n">
        <f aca="false">E166*(C166-2*F166)</f>
        <v>138.88</v>
      </c>
      <c r="M166" s="78" t="s">
        <v>592</v>
      </c>
      <c r="N166" s="78"/>
      <c r="O166" s="1" t="n">
        <f aca="false">(2*F166*D166^3+(C166-2*F166)*E166^3)/12</f>
        <v>24329.6277333333</v>
      </c>
      <c r="P166" s="1" t="n">
        <f aca="false">IFERROR(SQRT(J166/H166),"")</f>
        <v>35.6994037663697</v>
      </c>
      <c r="Q166" s="1" t="n">
        <f aca="false">IFERROR(SQRT(O166/H166),"")</f>
        <v>8.37487052643582</v>
      </c>
    </row>
    <row r="167" customFormat="false" ht="16.5" hidden="false" customHeight="true" outlineLevel="0" collapsed="false">
      <c r="A167" s="74" t="s">
        <v>601</v>
      </c>
      <c r="B167" s="74" t="s">
        <v>424</v>
      </c>
      <c r="C167" s="74" t="n">
        <v>90</v>
      </c>
      <c r="D167" s="74" t="n">
        <v>45</v>
      </c>
      <c r="E167" s="74" t="n">
        <v>2.3</v>
      </c>
      <c r="F167" s="74" t="n">
        <v>2.3</v>
      </c>
      <c r="G167" s="74" t="n">
        <v>20</v>
      </c>
      <c r="H167" s="74" t="n">
        <f aca="false">E167*(C167-2*F167)+2*D167*F167+2*G167*F167</f>
        <v>495.42</v>
      </c>
      <c r="I167" s="74" t="n">
        <f aca="false">H167*DB_Settings!$G$5</f>
        <v>3.889047</v>
      </c>
      <c r="J167" s="74" t="n">
        <f aca="false">E167*(C167-2*F167)^3/12+2*(D167*F167^3/12+D167*F167*(C167/2-F167/2)^2)+2*(F167*G167^3/12+F167*G167*(C167/2-F167-G167/2)^2)</f>
        <v>618933.7306</v>
      </c>
      <c r="K167" s="74" t="n">
        <f aca="false">J167/(C167/2)</f>
        <v>13754.0829022222</v>
      </c>
      <c r="L167" s="74" t="n">
        <f aca="false">E167*(C167-2*F167)</f>
        <v>196.42</v>
      </c>
      <c r="M167" s="78" t="s">
        <v>592</v>
      </c>
      <c r="N167" s="78"/>
      <c r="O167" s="1" t="n">
        <f aca="false">(2*F167*D167^3+(C167-2*F167)*E167^3)/12</f>
        <v>35017.8384833333</v>
      </c>
      <c r="P167" s="1" t="n">
        <f aca="false">IFERROR(SQRT(J167/H167),"")</f>
        <v>35.3455959257491</v>
      </c>
      <c r="Q167" s="1" t="n">
        <f aca="false">IFERROR(SQRT(O167/H167),"")</f>
        <v>8.40732623837624</v>
      </c>
    </row>
    <row r="168" customFormat="false" ht="16.5" hidden="false" customHeight="true" outlineLevel="0" collapsed="false">
      <c r="A168" s="74" t="s">
        <v>602</v>
      </c>
      <c r="B168" s="74" t="s">
        <v>424</v>
      </c>
      <c r="C168" s="74" t="n">
        <v>90</v>
      </c>
      <c r="D168" s="74" t="n">
        <v>45</v>
      </c>
      <c r="E168" s="74" t="n">
        <v>3.2</v>
      </c>
      <c r="F168" s="74" t="n">
        <v>3.2</v>
      </c>
      <c r="G168" s="74" t="n">
        <v>20</v>
      </c>
      <c r="H168" s="74" t="n">
        <f aca="false">E168*(C168-2*F168)+2*D168*F168+2*G168*F168</f>
        <v>683.52</v>
      </c>
      <c r="I168" s="74" t="n">
        <f aca="false">H168*DB_Settings!$G$5</f>
        <v>5.365632</v>
      </c>
      <c r="J168" s="74" t="n">
        <f aca="false">E168*(C168-2*F168)^3/12+2*(D168*F168^3/12+D168*F168*(C168/2-F168/2)^2)+2*(F168*G168^3/12+F168*G168*(C168/2-F168-G168/2)^2)</f>
        <v>832223.6416</v>
      </c>
      <c r="K168" s="74" t="n">
        <f aca="false">J168/(C168/2)</f>
        <v>18493.8587022222</v>
      </c>
      <c r="L168" s="74" t="n">
        <f aca="false">E168*(C168-2*F168)</f>
        <v>267.52</v>
      </c>
      <c r="M168" s="78" t="s">
        <v>592</v>
      </c>
      <c r="N168" s="78"/>
      <c r="O168" s="1" t="n">
        <f aca="false">(2*F168*D168^3+(C168-2*F168)*E168^3)/12</f>
        <v>48828.2837333333</v>
      </c>
      <c r="P168" s="1" t="n">
        <f aca="false">IFERROR(SQRT(J168/H168),"")</f>
        <v>34.8934901583478</v>
      </c>
      <c r="Q168" s="1" t="n">
        <f aca="false">IFERROR(SQRT(O168/H168),"")</f>
        <v>8.4520122226447</v>
      </c>
    </row>
    <row r="169" customFormat="false" ht="16.5" hidden="false" customHeight="true" outlineLevel="0" collapsed="false">
      <c r="A169" s="74" t="s">
        <v>603</v>
      </c>
      <c r="B169" s="74" t="s">
        <v>424</v>
      </c>
      <c r="C169" s="74" t="n">
        <v>100</v>
      </c>
      <c r="D169" s="74" t="n">
        <v>50</v>
      </c>
      <c r="E169" s="74" t="n">
        <v>1.6</v>
      </c>
      <c r="F169" s="74" t="n">
        <v>1.6</v>
      </c>
      <c r="G169" s="74" t="n">
        <v>20</v>
      </c>
      <c r="H169" s="74" t="n">
        <f aca="false">E169*(C169-2*F169)+2*D169*F169+2*G169*F169</f>
        <v>378.88</v>
      </c>
      <c r="I169" s="74" t="n">
        <f aca="false">H169*DB_Settings!$G$5</f>
        <v>2.974208</v>
      </c>
      <c r="J169" s="74" t="n">
        <f aca="false">E169*(C169-2*F169)^3/12+2*(D169*F169^3/12+D169*F169*(C169/2-F169/2)^2)+2*(F169*G169^3/12+F169*G169*(C169/2-F169-G169/2)^2)</f>
        <v>604780.270933333</v>
      </c>
      <c r="K169" s="74" t="n">
        <f aca="false">J169/(C169/2)</f>
        <v>12095.6054186667</v>
      </c>
      <c r="L169" s="74" t="n">
        <f aca="false">E169*(C169-2*F169)</f>
        <v>154.88</v>
      </c>
      <c r="M169" s="78" t="s">
        <v>592</v>
      </c>
      <c r="N169" s="78"/>
      <c r="O169" s="1" t="n">
        <f aca="false">(2*F169*D169^3+(C169-2*F169)*E169^3)/12</f>
        <v>33366.3744</v>
      </c>
      <c r="P169" s="1" t="n">
        <f aca="false">IFERROR(SQRT(J169/H169),"")</f>
        <v>39.9528686293201</v>
      </c>
      <c r="Q169" s="1" t="n">
        <f aca="false">IFERROR(SQRT(O169/H169),"")</f>
        <v>9.38433859208047</v>
      </c>
    </row>
    <row r="170" customFormat="false" ht="16.5" hidden="false" customHeight="true" outlineLevel="0" collapsed="false">
      <c r="A170" s="74" t="s">
        <v>604</v>
      </c>
      <c r="B170" s="74" t="s">
        <v>424</v>
      </c>
      <c r="C170" s="74" t="n">
        <v>100</v>
      </c>
      <c r="D170" s="74" t="n">
        <v>50</v>
      </c>
      <c r="E170" s="74" t="n">
        <v>2</v>
      </c>
      <c r="F170" s="74" t="n">
        <v>2</v>
      </c>
      <c r="G170" s="74" t="n">
        <v>20</v>
      </c>
      <c r="H170" s="74" t="n">
        <f aca="false">E170*(C170-2*F170)+2*D170*F170+2*G170*F170</f>
        <v>472</v>
      </c>
      <c r="I170" s="74" t="n">
        <f aca="false">H170*DB_Settings!$G$5</f>
        <v>3.7052</v>
      </c>
      <c r="J170" s="74" t="n">
        <f aca="false">E170*(C170-2*F170)^3/12+2*(D170*F170^3/12+D170*F170*(C170/2-F170/2)^2)+2*(F170*G170^3/12+F170*G170*(C170/2-F170-G170/2)^2)</f>
        <v>745909.333333333</v>
      </c>
      <c r="K170" s="74" t="n">
        <f aca="false">J170/(C170/2)</f>
        <v>14918.1866666667</v>
      </c>
      <c r="L170" s="74" t="n">
        <f aca="false">E170*(C170-2*F170)</f>
        <v>192</v>
      </c>
      <c r="M170" s="78" t="s">
        <v>592</v>
      </c>
      <c r="N170" s="78"/>
      <c r="O170" s="1" t="n">
        <f aca="false">(2*F170*D170^3+(C170-2*F170)*E170^3)/12</f>
        <v>41730.6666666667</v>
      </c>
      <c r="P170" s="1" t="n">
        <f aca="false">IFERROR(SQRT(J170/H170),"")</f>
        <v>39.7531933834351</v>
      </c>
      <c r="Q170" s="1" t="n">
        <f aca="false">IFERROR(SQRT(O170/H170),"")</f>
        <v>9.40278838316226</v>
      </c>
    </row>
    <row r="171" customFormat="false" ht="16.5" hidden="false" customHeight="true" outlineLevel="0" collapsed="false">
      <c r="A171" s="74" t="s">
        <v>605</v>
      </c>
      <c r="B171" s="74" t="s">
        <v>424</v>
      </c>
      <c r="C171" s="74" t="n">
        <v>100</v>
      </c>
      <c r="D171" s="74" t="n">
        <v>50</v>
      </c>
      <c r="E171" s="74" t="n">
        <v>2.3</v>
      </c>
      <c r="F171" s="74" t="n">
        <v>2.3</v>
      </c>
      <c r="G171" s="74" t="n">
        <v>20</v>
      </c>
      <c r="H171" s="74" t="n">
        <f aca="false">E171*(C171-2*F171)+2*D171*F171+2*G171*F171</f>
        <v>541.42</v>
      </c>
      <c r="I171" s="74" t="n">
        <f aca="false">H171*DB_Settings!$G$5</f>
        <v>4.250147</v>
      </c>
      <c r="J171" s="74" t="n">
        <f aca="false">E171*(C171-2*F171)^3/12+2*(D171*F171^3/12+D171*F171*(C171/2-F171/2)^2)+2*(F171*G171^3/12+F171*G171*(C171/2-F171-G171/2)^2)</f>
        <v>849195.623933333</v>
      </c>
      <c r="K171" s="74" t="n">
        <f aca="false">J171/(C171/2)</f>
        <v>16983.9124786667</v>
      </c>
      <c r="L171" s="74" t="n">
        <f aca="false">E171*(C171-2*F171)</f>
        <v>219.42</v>
      </c>
      <c r="M171" s="78" t="s">
        <v>592</v>
      </c>
      <c r="N171" s="78"/>
      <c r="O171" s="1" t="n">
        <f aca="false">(2*F171*D171^3+(C171-2*F171)*E171^3)/12</f>
        <v>48013.3943166667</v>
      </c>
      <c r="P171" s="1" t="n">
        <f aca="false">IFERROR(SQRT(J171/H171),"")</f>
        <v>39.6037879479276</v>
      </c>
      <c r="Q171" s="1" t="n">
        <f aca="false">IFERROR(SQRT(O171/H171),"")</f>
        <v>9.41703224579397</v>
      </c>
    </row>
    <row r="172" customFormat="false" ht="16.5" hidden="false" customHeight="true" outlineLevel="0" collapsed="false">
      <c r="A172" s="74" t="s">
        <v>606</v>
      </c>
      <c r="B172" s="74" t="s">
        <v>424</v>
      </c>
      <c r="C172" s="74" t="n">
        <v>100</v>
      </c>
      <c r="D172" s="74" t="n">
        <v>50</v>
      </c>
      <c r="E172" s="74" t="n">
        <v>2.8</v>
      </c>
      <c r="F172" s="74" t="n">
        <v>2.8</v>
      </c>
      <c r="G172" s="74" t="n">
        <v>20</v>
      </c>
      <c r="H172" s="74" t="n">
        <f aca="false">E172*(C172-2*F172)+2*D172*F172+2*G172*F172</f>
        <v>656.32</v>
      </c>
      <c r="I172" s="74" t="n">
        <f aca="false">H172*DB_Settings!$G$5</f>
        <v>5.152112</v>
      </c>
      <c r="J172" s="74" t="n">
        <f aca="false">E172*(C172-2*F172)^3/12+2*(D172*F172^3/12+D172*F172*(C172/2-F172/2)^2)+2*(F172*G172^3/12+F172*G172*(C172/2-F172-G172/2)^2)</f>
        <v>1016542.70293333</v>
      </c>
      <c r="K172" s="74" t="n">
        <f aca="false">J172/(C172/2)</f>
        <v>20330.8540586667</v>
      </c>
      <c r="L172" s="74" t="n">
        <f aca="false">E172*(C172-2*F172)</f>
        <v>264.32</v>
      </c>
      <c r="M172" s="78" t="s">
        <v>592</v>
      </c>
      <c r="N172" s="78"/>
      <c r="O172" s="1" t="n">
        <f aca="false">(2*F172*D172^3+(C172-2*F172)*E172^3)/12</f>
        <v>58506.0224</v>
      </c>
      <c r="P172" s="1" t="n">
        <f aca="false">IFERROR(SQRT(J172/H172),"")</f>
        <v>39.3554601190631</v>
      </c>
      <c r="Q172" s="1" t="n">
        <f aca="false">IFERROR(SQRT(O172/H172),"")</f>
        <v>9.44153195182168</v>
      </c>
    </row>
    <row r="173" customFormat="false" ht="16.5" hidden="false" customHeight="true" outlineLevel="0" collapsed="false">
      <c r="A173" s="74" t="s">
        <v>607</v>
      </c>
      <c r="B173" s="74" t="s">
        <v>424</v>
      </c>
      <c r="C173" s="74" t="n">
        <v>100</v>
      </c>
      <c r="D173" s="74" t="n">
        <v>50</v>
      </c>
      <c r="E173" s="74" t="n">
        <v>3.2</v>
      </c>
      <c r="F173" s="74" t="n">
        <v>3.2</v>
      </c>
      <c r="G173" s="74" t="n">
        <v>20</v>
      </c>
      <c r="H173" s="74" t="n">
        <f aca="false">E173*(C173-2*F173)+2*D173*F173+2*G173*F173</f>
        <v>747.52</v>
      </c>
      <c r="I173" s="74" t="n">
        <f aca="false">H173*DB_Settings!$G$5</f>
        <v>5.868032</v>
      </c>
      <c r="J173" s="74" t="n">
        <f aca="false">E173*(C173-2*F173)^3/12+2*(D173*F173^3/12+D173*F173*(C173/2-F173/2)^2)+2*(F173*G173^3/12+F173*G173*(C173/2-F173-G173/2)^2)</f>
        <v>1146175.21493333</v>
      </c>
      <c r="K173" s="74" t="n">
        <f aca="false">J173/(C173/2)</f>
        <v>22923.5042986667</v>
      </c>
      <c r="L173" s="74" t="n">
        <f aca="false">E173*(C173-2*F173)</f>
        <v>299.52</v>
      </c>
      <c r="M173" s="78" t="s">
        <v>592</v>
      </c>
      <c r="N173" s="78"/>
      <c r="O173" s="1" t="n">
        <f aca="false">(2*F173*D173^3+(C173-2*F173)*E173^3)/12</f>
        <v>66922.2570666667</v>
      </c>
      <c r="P173" s="1" t="n">
        <f aca="false">IFERROR(SQRT(J173/H173),"")</f>
        <v>39.1574225951126</v>
      </c>
      <c r="Q173" s="1" t="n">
        <f aca="false">IFERROR(SQRT(O173/H173),"")</f>
        <v>9.46180256412895</v>
      </c>
    </row>
    <row r="174" customFormat="false" ht="16.5" hidden="false" customHeight="true" outlineLevel="0" collapsed="false">
      <c r="A174" s="74" t="s">
        <v>608</v>
      </c>
      <c r="B174" s="74" t="s">
        <v>424</v>
      </c>
      <c r="C174" s="74" t="n">
        <v>100</v>
      </c>
      <c r="D174" s="74" t="n">
        <v>50</v>
      </c>
      <c r="E174" s="74" t="n">
        <v>4</v>
      </c>
      <c r="F174" s="74" t="n">
        <v>4</v>
      </c>
      <c r="G174" s="74" t="n">
        <v>20</v>
      </c>
      <c r="H174" s="74" t="n">
        <f aca="false">E174*(C174-2*F174)+2*D174*F174+2*G174*F174</f>
        <v>928</v>
      </c>
      <c r="I174" s="74" t="n">
        <f aca="false">H174*DB_Settings!$G$5</f>
        <v>7.2848</v>
      </c>
      <c r="J174" s="74" t="n">
        <f aca="false">E174*(C174-2*F174)^3/12+2*(D174*F174^3/12+D174*F174*(C174/2-F174/2)^2)+2*(F174*G174^3/12+F174*G174*(C174/2-F174-G174/2)^2)</f>
        <v>1394389.33333333</v>
      </c>
      <c r="K174" s="74" t="n">
        <f aca="false">J174/(C174/2)</f>
        <v>27887.7866666667</v>
      </c>
      <c r="L174" s="74" t="n">
        <f aca="false">E174*(C174-2*F174)</f>
        <v>368</v>
      </c>
      <c r="M174" s="78" t="s">
        <v>592</v>
      </c>
      <c r="N174" s="78"/>
      <c r="O174" s="1" t="n">
        <f aca="false">(2*F174*D174^3+(C174-2*F174)*E174^3)/12</f>
        <v>83824</v>
      </c>
      <c r="P174" s="1" t="n">
        <f aca="false">IFERROR(SQRT(J174/H174),"")</f>
        <v>38.763058607954</v>
      </c>
      <c r="Q174" s="1" t="n">
        <f aca="false">IFERROR(SQRT(O174/H174),"")</f>
        <v>9.50408260732705</v>
      </c>
    </row>
    <row r="175" customFormat="false" ht="16.5" hidden="false" customHeight="true" outlineLevel="0" collapsed="false">
      <c r="A175" s="74" t="s">
        <v>609</v>
      </c>
      <c r="B175" s="74" t="s">
        <v>424</v>
      </c>
      <c r="C175" s="74" t="n">
        <v>100</v>
      </c>
      <c r="D175" s="74" t="n">
        <v>50</v>
      </c>
      <c r="E175" s="74" t="n">
        <v>4.5</v>
      </c>
      <c r="F175" s="74" t="n">
        <v>4.5</v>
      </c>
      <c r="G175" s="74" t="n">
        <v>20</v>
      </c>
      <c r="H175" s="74" t="n">
        <f aca="false">E175*(C175-2*F175)+2*D175*F175+2*G175*F175</f>
        <v>1039.5</v>
      </c>
      <c r="I175" s="74" t="n">
        <f aca="false">H175*DB_Settings!$G$5</f>
        <v>8.160075</v>
      </c>
      <c r="J175" s="74" t="n">
        <f aca="false">E175*(C175-2*F175)^3/12+2*(D175*F175^3/12+D175*F175*(C175/2-F175/2)^2)+2*(F175*G175^3/12+F175*G175*(C175/2-F175-G175/2)^2)</f>
        <v>1542221.625</v>
      </c>
      <c r="K175" s="74" t="n">
        <f aca="false">J175/(C175/2)</f>
        <v>30844.4325</v>
      </c>
      <c r="L175" s="74" t="n">
        <f aca="false">E175*(C175-2*F175)</f>
        <v>409.5</v>
      </c>
      <c r="M175" s="78" t="s">
        <v>592</v>
      </c>
      <c r="N175" s="78"/>
      <c r="O175" s="1" t="n">
        <f aca="false">(2*F175*D175^3+(C175-2*F175)*E175^3)/12</f>
        <v>94441.03125</v>
      </c>
      <c r="P175" s="1" t="n">
        <f aca="false">IFERROR(SQRT(J175/H175),"")</f>
        <v>38.5177710527061</v>
      </c>
      <c r="Q175" s="1" t="n">
        <f aca="false">IFERROR(SQRT(O175/H175),"")</f>
        <v>9.53165058711569</v>
      </c>
    </row>
    <row r="176" customFormat="false" ht="16.5" hidden="false" customHeight="true" outlineLevel="0" collapsed="false">
      <c r="A176" s="74" t="s">
        <v>610</v>
      </c>
      <c r="B176" s="74" t="s">
        <v>424</v>
      </c>
      <c r="C176" s="74" t="n">
        <v>120</v>
      </c>
      <c r="D176" s="74" t="n">
        <v>40</v>
      </c>
      <c r="E176" s="74" t="n">
        <v>3.2</v>
      </c>
      <c r="F176" s="74" t="n">
        <v>3.2</v>
      </c>
      <c r="G176" s="74" t="n">
        <v>20</v>
      </c>
      <c r="H176" s="74" t="n">
        <f aca="false">E176*(C176-2*F176)+2*D176*F176+2*G176*F176</f>
        <v>747.52</v>
      </c>
      <c r="I176" s="74" t="n">
        <f aca="false">H176*DB_Settings!$G$5</f>
        <v>5.868032</v>
      </c>
      <c r="J176" s="74" t="n">
        <f aca="false">E176*(C176-2*F176)^3/12+2*(D176*F176^3/12+D176*F176*(C176/2-F176/2)^2)+2*(F176*G176^3/12+F176*G176*(C176/2-F176-G176/2)^2)</f>
        <v>1548873.45493333</v>
      </c>
      <c r="K176" s="74" t="n">
        <f aca="false">J176/(C176/2)</f>
        <v>25814.5575822222</v>
      </c>
      <c r="L176" s="74" t="n">
        <f aca="false">E176*(C176-2*F176)</f>
        <v>363.52</v>
      </c>
      <c r="M176" s="78" t="s">
        <v>592</v>
      </c>
      <c r="N176" s="78"/>
      <c r="O176" s="1" t="n">
        <f aca="false">(2*F176*D176^3+(C176-2*F176)*E176^3)/12</f>
        <v>34443.5370666667</v>
      </c>
      <c r="P176" s="1" t="n">
        <f aca="false">IFERROR(SQRT(J176/H176),"")</f>
        <v>45.5194032590428</v>
      </c>
      <c r="Q176" s="1" t="n">
        <f aca="false">IFERROR(SQRT(O176/H176),"")</f>
        <v>6.78800984277209</v>
      </c>
    </row>
    <row r="177" customFormat="false" ht="16.5" hidden="false" customHeight="true" outlineLevel="0" collapsed="false">
      <c r="A177" s="74" t="s">
        <v>611</v>
      </c>
      <c r="B177" s="74" t="s">
        <v>424</v>
      </c>
      <c r="C177" s="74" t="n">
        <v>120</v>
      </c>
      <c r="D177" s="74" t="n">
        <v>60</v>
      </c>
      <c r="E177" s="74" t="n">
        <v>2.3</v>
      </c>
      <c r="F177" s="74" t="n">
        <v>2.3</v>
      </c>
      <c r="G177" s="74" t="n">
        <v>20</v>
      </c>
      <c r="H177" s="74" t="n">
        <f aca="false">E177*(C177-2*F177)+2*D177*F177+2*G177*F177</f>
        <v>633.42</v>
      </c>
      <c r="I177" s="74" t="n">
        <f aca="false">H177*DB_Settings!$G$5</f>
        <v>4.972347</v>
      </c>
      <c r="J177" s="74" t="n">
        <f aca="false">E177*(C177-2*F177)^3/12+2*(D177*F177^3/12+D177*F177*(C177/2-F177/2)^2)+2*(F177*G177^3/12+F177*G177*(C177/2-F177-G177/2)^2)</f>
        <v>1462945.4106</v>
      </c>
      <c r="K177" s="74" t="n">
        <f aca="false">J177/(C177/2)</f>
        <v>24382.42351</v>
      </c>
      <c r="L177" s="74" t="n">
        <f aca="false">E177*(C177-2*F177)</f>
        <v>265.42</v>
      </c>
      <c r="M177" s="78" t="s">
        <v>592</v>
      </c>
      <c r="N177" s="78"/>
      <c r="O177" s="1" t="n">
        <f aca="false">(2*F177*D177^3+(C177-2*F177)*E177^3)/12</f>
        <v>82917.0059833333</v>
      </c>
      <c r="P177" s="1" t="n">
        <f aca="false">IFERROR(SQRT(J177/H177),"")</f>
        <v>48.0582745840015</v>
      </c>
      <c r="Q177" s="1" t="n">
        <f aca="false">IFERROR(SQRT(O177/H177),"")</f>
        <v>11.4413144026474</v>
      </c>
    </row>
    <row r="178" customFormat="false" ht="16.5" hidden="false" customHeight="true" outlineLevel="0" collapsed="false">
      <c r="A178" s="74" t="s">
        <v>612</v>
      </c>
      <c r="B178" s="74" t="s">
        <v>424</v>
      </c>
      <c r="C178" s="74" t="n">
        <v>120</v>
      </c>
      <c r="D178" s="74" t="n">
        <v>60</v>
      </c>
      <c r="E178" s="74" t="n">
        <v>3.2</v>
      </c>
      <c r="F178" s="74" t="n">
        <v>3.2</v>
      </c>
      <c r="G178" s="74" t="n">
        <v>20</v>
      </c>
      <c r="H178" s="74" t="n">
        <f aca="false">E178*(C178-2*F178)+2*D178*F178+2*G178*F178</f>
        <v>875.52</v>
      </c>
      <c r="I178" s="74" t="n">
        <f aca="false">H178*DB_Settings!$G$5</f>
        <v>6.872832</v>
      </c>
      <c r="J178" s="74" t="n">
        <f aca="false">E178*(C178-2*F178)^3/12+2*(D178*F178^3/12+D178*F178*(C178/2-F178/2)^2)+2*(F178*G178^3/12+F178*G178*(C178/2-F178-G178/2)^2)</f>
        <v>1985534.3616</v>
      </c>
      <c r="K178" s="74" t="n">
        <f aca="false">J178/(C178/2)</f>
        <v>33092.23936</v>
      </c>
      <c r="L178" s="74" t="n">
        <f aca="false">E178*(C178-2*F178)</f>
        <v>363.52</v>
      </c>
      <c r="M178" s="78" t="s">
        <v>592</v>
      </c>
      <c r="N178" s="78"/>
      <c r="O178" s="1" t="n">
        <f aca="false">(2*F178*D178^3+(C178-2*F178)*E178^3)/12</f>
        <v>115510.203733333</v>
      </c>
      <c r="P178" s="1" t="n">
        <f aca="false">IFERROR(SQRT(J178/H178),"")</f>
        <v>47.6217847834887</v>
      </c>
      <c r="Q178" s="1" t="n">
        <f aca="false">IFERROR(SQRT(O178/H178),"")</f>
        <v>11.4862202382082</v>
      </c>
    </row>
    <row r="179" customFormat="false" ht="16.5" hidden="false" customHeight="true" outlineLevel="0" collapsed="false">
      <c r="A179" s="74" t="s">
        <v>613</v>
      </c>
      <c r="B179" s="74" t="s">
        <v>424</v>
      </c>
      <c r="C179" s="74" t="n">
        <v>120</v>
      </c>
      <c r="D179" s="74" t="n">
        <v>60</v>
      </c>
      <c r="E179" s="74" t="n">
        <v>4.5</v>
      </c>
      <c r="F179" s="74" t="n">
        <v>4.5</v>
      </c>
      <c r="G179" s="74" t="n">
        <v>25</v>
      </c>
      <c r="H179" s="74" t="n">
        <f aca="false">E179*(C179-2*F179)+2*D179*F179+2*G179*F179</f>
        <v>1264.5</v>
      </c>
      <c r="I179" s="74" t="n">
        <f aca="false">H179*DB_Settings!$G$5</f>
        <v>9.926325</v>
      </c>
      <c r="J179" s="74" t="n">
        <f aca="false">E179*(C179-2*F179)^3/12+2*(D179*F179^3/12+D179*F179*(C179/2-F179/2)^2)+2*(F179*G179^3/12+F179*G179*(C179/2-F179-G179/2)^2)</f>
        <v>2742450.375</v>
      </c>
      <c r="K179" s="74" t="n">
        <f aca="false">J179/(C179/2)</f>
        <v>45707.50625</v>
      </c>
      <c r="L179" s="74" t="n">
        <f aca="false">E179*(C179-2*F179)</f>
        <v>499.5</v>
      </c>
      <c r="M179" s="78" t="s">
        <v>592</v>
      </c>
      <c r="N179" s="78"/>
      <c r="O179" s="1" t="n">
        <f aca="false">(2*F179*D179^3+(C179-2*F179)*E179^3)/12</f>
        <v>162842.90625</v>
      </c>
      <c r="P179" s="1" t="n">
        <f aca="false">IFERROR(SQRT(J179/H179),"")</f>
        <v>46.5704004120997</v>
      </c>
      <c r="Q179" s="1" t="n">
        <f aca="false">IFERROR(SQRT(O179/H179),"")</f>
        <v>11.3481483745256</v>
      </c>
    </row>
    <row r="180" customFormat="false" ht="16.5" hidden="false" customHeight="true" outlineLevel="0" collapsed="false">
      <c r="A180" s="74" t="s">
        <v>614</v>
      </c>
      <c r="B180" s="74" t="s">
        <v>424</v>
      </c>
      <c r="C180" s="74" t="n">
        <v>125</v>
      </c>
      <c r="D180" s="74" t="n">
        <v>50</v>
      </c>
      <c r="E180" s="74" t="n">
        <v>2.3</v>
      </c>
      <c r="F180" s="74" t="n">
        <v>2.3</v>
      </c>
      <c r="G180" s="74" t="n">
        <v>20</v>
      </c>
      <c r="H180" s="74" t="n">
        <f aca="false">E180*(C180-2*F180)+2*D180*F180+2*G180*F180</f>
        <v>598.92</v>
      </c>
      <c r="I180" s="74" t="n">
        <f aca="false">H180*DB_Settings!$G$5</f>
        <v>4.701522</v>
      </c>
      <c r="J180" s="74" t="n">
        <f aca="false">E180*(C180-2*F180)^3/12+2*(D180*F180^3/12+D180*F180*(C180/2-F180/2)^2)+2*(F180*G180^3/12+F180*G180*(C180/2-F180-G180/2)^2)</f>
        <v>1435213.9656</v>
      </c>
      <c r="K180" s="74" t="n">
        <f aca="false">J180/(C180/2)</f>
        <v>22963.4234496</v>
      </c>
      <c r="L180" s="74" t="n">
        <f aca="false">E180*(C180-2*F180)</f>
        <v>276.92</v>
      </c>
      <c r="M180" s="78" t="s">
        <v>592</v>
      </c>
      <c r="N180" s="78"/>
      <c r="O180" s="1" t="n">
        <f aca="false">(2*F180*D180^3+(C180-2*F180)*E180^3)/12</f>
        <v>48038.7422333333</v>
      </c>
      <c r="P180" s="1" t="n">
        <f aca="false">IFERROR(SQRT(J180/H180),"")</f>
        <v>48.9523919949541</v>
      </c>
      <c r="Q180" s="1" t="n">
        <f aca="false">IFERROR(SQRT(O180/H180),"")</f>
        <v>8.95594475711946</v>
      </c>
    </row>
    <row r="181" customFormat="false" ht="16.5" hidden="false" customHeight="true" outlineLevel="0" collapsed="false">
      <c r="A181" s="74" t="s">
        <v>615</v>
      </c>
      <c r="B181" s="74" t="s">
        <v>424</v>
      </c>
      <c r="C181" s="74" t="n">
        <v>125</v>
      </c>
      <c r="D181" s="74" t="n">
        <v>50</v>
      </c>
      <c r="E181" s="74" t="n">
        <v>3.2</v>
      </c>
      <c r="F181" s="74" t="n">
        <v>3.2</v>
      </c>
      <c r="G181" s="74" t="n">
        <v>20</v>
      </c>
      <c r="H181" s="74" t="n">
        <f aca="false">E181*(C181-2*F181)+2*D181*F181+2*G181*F181</f>
        <v>827.52</v>
      </c>
      <c r="I181" s="74" t="n">
        <f aca="false">H181*DB_Settings!$G$5</f>
        <v>6.496032</v>
      </c>
      <c r="J181" s="74" t="n">
        <f aca="false">E181*(C181-2*F181)^3/12+2*(D181*F181^3/12+D181*F181*(C181/2-F181/2)^2)+2*(F181*G181^3/12+F181*G181*(C181/2-F181-G181/2)^2)</f>
        <v>1947321.0816</v>
      </c>
      <c r="K181" s="74" t="n">
        <f aca="false">J181/(C181/2)</f>
        <v>31157.1373056</v>
      </c>
      <c r="L181" s="74" t="n">
        <f aca="false">E181*(C181-2*F181)</f>
        <v>379.52</v>
      </c>
      <c r="M181" s="78" t="s">
        <v>592</v>
      </c>
      <c r="N181" s="78"/>
      <c r="O181" s="1" t="n">
        <f aca="false">(2*F181*D181^3+(C181-2*F181)*E181^3)/12</f>
        <v>66990.5237333333</v>
      </c>
      <c r="P181" s="1" t="n">
        <f aca="false">IFERROR(SQRT(J181/H181),"")</f>
        <v>48.509805500521</v>
      </c>
      <c r="Q181" s="1" t="n">
        <f aca="false">IFERROR(SQRT(O181/H181),"")</f>
        <v>8.99740846650709</v>
      </c>
    </row>
    <row r="182" customFormat="false" ht="16.5" hidden="false" customHeight="true" outlineLevel="0" collapsed="false">
      <c r="A182" s="74" t="s">
        <v>616</v>
      </c>
      <c r="B182" s="74" t="s">
        <v>424</v>
      </c>
      <c r="C182" s="74" t="n">
        <v>125</v>
      </c>
      <c r="D182" s="74" t="n">
        <v>50</v>
      </c>
      <c r="E182" s="74" t="n">
        <v>4</v>
      </c>
      <c r="F182" s="74" t="n">
        <v>4</v>
      </c>
      <c r="G182" s="74" t="n">
        <v>20</v>
      </c>
      <c r="H182" s="74" t="n">
        <f aca="false">E182*(C182-2*F182)+2*D182*F182+2*G182*F182</f>
        <v>1028</v>
      </c>
      <c r="I182" s="74" t="n">
        <f aca="false">H182*DB_Settings!$G$5</f>
        <v>8.0698</v>
      </c>
      <c r="J182" s="74" t="n">
        <f aca="false">E182*(C182-2*F182)^3/12+2*(D182*F182^3/12+D182*F182*(C182/2-F182/2)^2)+2*(F182*G182^3/12+F182*G182*(C182/2-F182-G182/2)^2)</f>
        <v>2380197.66666667</v>
      </c>
      <c r="K182" s="74" t="n">
        <f aca="false">J182/(C182/2)</f>
        <v>38083.1626666667</v>
      </c>
      <c r="L182" s="74" t="n">
        <f aca="false">E182*(C182-2*F182)</f>
        <v>468</v>
      </c>
      <c r="M182" s="78" t="s">
        <v>592</v>
      </c>
      <c r="N182" s="78"/>
      <c r="O182" s="1" t="n">
        <f aca="false">(2*F182*D182^3+(C182-2*F182)*E182^3)/12</f>
        <v>83957.3333333333</v>
      </c>
      <c r="P182" s="1" t="n">
        <f aca="false">IFERROR(SQRT(J182/H182),"")</f>
        <v>48.1182645159397</v>
      </c>
      <c r="Q182" s="1" t="n">
        <f aca="false">IFERROR(SQRT(O182/H182),"")</f>
        <v>9.03717642393078</v>
      </c>
    </row>
    <row r="183" customFormat="false" ht="16.5" hidden="false" customHeight="true" outlineLevel="0" collapsed="false">
      <c r="A183" s="74" t="s">
        <v>617</v>
      </c>
      <c r="B183" s="74" t="s">
        <v>424</v>
      </c>
      <c r="C183" s="74" t="n">
        <v>125</v>
      </c>
      <c r="D183" s="74" t="n">
        <v>50</v>
      </c>
      <c r="E183" s="74" t="n">
        <v>4.5</v>
      </c>
      <c r="F183" s="74" t="n">
        <v>4.5</v>
      </c>
      <c r="G183" s="74" t="n">
        <v>20</v>
      </c>
      <c r="H183" s="74" t="n">
        <f aca="false">E183*(C183-2*F183)+2*D183*F183+2*G183*F183</f>
        <v>1152</v>
      </c>
      <c r="I183" s="74" t="n">
        <f aca="false">H183*DB_Settings!$G$5</f>
        <v>9.0432</v>
      </c>
      <c r="J183" s="74" t="n">
        <f aca="false">E183*(C183-2*F183)^3/12+2*(D183*F183^3/12+D183*F183*(C183/2-F183/2)^2)+2*(F183*G183^3/12+F183*G183*(C183/2-F183-G183/2)^2)</f>
        <v>2640343.5</v>
      </c>
      <c r="K183" s="74" t="n">
        <f aca="false">J183/(C183/2)</f>
        <v>42245.496</v>
      </c>
      <c r="L183" s="74" t="n">
        <f aca="false">E183*(C183-2*F183)</f>
        <v>522</v>
      </c>
      <c r="M183" s="78" t="s">
        <v>592</v>
      </c>
      <c r="N183" s="78"/>
      <c r="O183" s="1" t="n">
        <f aca="false">(2*F183*D183^3+(C183-2*F183)*E183^3)/12</f>
        <v>94630.875</v>
      </c>
      <c r="P183" s="1" t="n">
        <f aca="false">IFERROR(SQRT(J183/H183),"")</f>
        <v>47.874469644582</v>
      </c>
      <c r="Q183" s="1" t="n">
        <f aca="false">IFERROR(SQRT(O183/H183),"")</f>
        <v>9.06337998601147</v>
      </c>
    </row>
    <row r="184" customFormat="false" ht="16.5" hidden="false" customHeight="true" outlineLevel="0" collapsed="false">
      <c r="A184" s="74" t="s">
        <v>618</v>
      </c>
      <c r="B184" s="74" t="s">
        <v>424</v>
      </c>
      <c r="C184" s="74" t="n">
        <v>150</v>
      </c>
      <c r="D184" s="74" t="n">
        <v>50</v>
      </c>
      <c r="E184" s="74" t="n">
        <v>2.3</v>
      </c>
      <c r="F184" s="74" t="n">
        <v>2.3</v>
      </c>
      <c r="G184" s="74" t="n">
        <v>20</v>
      </c>
      <c r="H184" s="74" t="n">
        <f aca="false">E184*(C184-2*F184)+2*D184*F184+2*G184*F184</f>
        <v>656.42</v>
      </c>
      <c r="I184" s="74" t="n">
        <f aca="false">H184*DB_Settings!$G$5</f>
        <v>5.152897</v>
      </c>
      <c r="J184" s="74" t="n">
        <f aca="false">E184*(C184-2*F184)^3/12+2*(D184*F184^3/12+D184*F184*(C184/2-F184/2)^2)+2*(F184*G184^3/12+F184*G184*(C184/2-F184-G184/2)^2)</f>
        <v>2208394.80726667</v>
      </c>
      <c r="K184" s="74" t="n">
        <f aca="false">J184/(C184/2)</f>
        <v>29445.2640968889</v>
      </c>
      <c r="L184" s="74" t="n">
        <f aca="false">E184*(C184-2*F184)</f>
        <v>334.42</v>
      </c>
      <c r="M184" s="78" t="s">
        <v>592</v>
      </c>
      <c r="N184" s="78"/>
      <c r="O184" s="1" t="n">
        <f aca="false">(2*F184*D184^3+(C184-2*F184)*E184^3)/12</f>
        <v>48064.09015</v>
      </c>
      <c r="P184" s="1" t="n">
        <f aca="false">IFERROR(SQRT(J184/H184),"")</f>
        <v>58.0025992981741</v>
      </c>
      <c r="Q184" s="1" t="n">
        <f aca="false">IFERROR(SQRT(O184/H184),"")</f>
        <v>8.5569591827647</v>
      </c>
    </row>
    <row r="185" customFormat="false" ht="16.5" hidden="false" customHeight="true" outlineLevel="0" collapsed="false">
      <c r="A185" s="74" t="s">
        <v>619</v>
      </c>
      <c r="B185" s="74" t="s">
        <v>424</v>
      </c>
      <c r="C185" s="74" t="n">
        <v>150</v>
      </c>
      <c r="D185" s="74" t="n">
        <v>50</v>
      </c>
      <c r="E185" s="74" t="n">
        <v>3.2</v>
      </c>
      <c r="F185" s="74" t="n">
        <v>3.2</v>
      </c>
      <c r="G185" s="74" t="n">
        <v>20</v>
      </c>
      <c r="H185" s="74" t="n">
        <f aca="false">E185*(C185-2*F185)+2*D185*F185+2*G185*F185</f>
        <v>907.52</v>
      </c>
      <c r="I185" s="74" t="n">
        <f aca="false">H185*DB_Settings!$G$5</f>
        <v>7.124032</v>
      </c>
      <c r="J185" s="74" t="n">
        <f aca="false">E185*(C185-2*F185)^3/12+2*(D185*F185^3/12+D185*F185*(C185/2-F185/2)^2)+2*(F185*G185^3/12+F185*G185*(C185/2-F185-G185/2)^2)</f>
        <v>3007066.94826667</v>
      </c>
      <c r="K185" s="74" t="n">
        <f aca="false">J185/(C185/2)</f>
        <v>40094.2259768889</v>
      </c>
      <c r="L185" s="74" t="n">
        <f aca="false">E185*(C185-2*F185)</f>
        <v>459.52</v>
      </c>
      <c r="M185" s="78" t="s">
        <v>592</v>
      </c>
      <c r="N185" s="78"/>
      <c r="O185" s="1" t="n">
        <f aca="false">(2*F185*D185^3+(C185-2*F185)*E185^3)/12</f>
        <v>67058.7904</v>
      </c>
      <c r="P185" s="1" t="n">
        <f aca="false">IFERROR(SQRT(J185/H185),"")</f>
        <v>57.5630034831809</v>
      </c>
      <c r="Q185" s="1" t="n">
        <f aca="false">IFERROR(SQRT(O185/H185),"")</f>
        <v>8.5960662765118</v>
      </c>
    </row>
    <row r="186" customFormat="false" ht="16.5" hidden="false" customHeight="true" outlineLevel="0" collapsed="false">
      <c r="A186" s="74" t="s">
        <v>620</v>
      </c>
      <c r="B186" s="74" t="s">
        <v>424</v>
      </c>
      <c r="C186" s="74" t="n">
        <v>150</v>
      </c>
      <c r="D186" s="74" t="n">
        <v>50</v>
      </c>
      <c r="E186" s="74" t="n">
        <v>4.5</v>
      </c>
      <c r="F186" s="74" t="n">
        <v>4.5</v>
      </c>
      <c r="G186" s="74" t="n">
        <v>20</v>
      </c>
      <c r="H186" s="74" t="n">
        <f aca="false">E186*(C186-2*F186)+2*D186*F186+2*G186*F186</f>
        <v>1264.5</v>
      </c>
      <c r="I186" s="74" t="n">
        <f aca="false">H186*DB_Settings!$G$5</f>
        <v>9.926325</v>
      </c>
      <c r="J186" s="74" t="n">
        <f aca="false">E186*(C186-2*F186)^3/12+2*(D186*F186^3/12+D186*F186*(C186/2-F186/2)^2)+2*(F186*G186^3/12+F186*G186*(C186/2-F186-G186/2)^2)</f>
        <v>4098465.375</v>
      </c>
      <c r="K186" s="74" t="n">
        <f aca="false">J186/(C186/2)</f>
        <v>54646.205</v>
      </c>
      <c r="L186" s="74" t="n">
        <f aca="false">E186*(C186-2*F186)</f>
        <v>634.5</v>
      </c>
      <c r="M186" s="78" t="s">
        <v>592</v>
      </c>
      <c r="N186" s="78"/>
      <c r="O186" s="1" t="n">
        <f aca="false">(2*F186*D186^3+(C186-2*F186)*E186^3)/12</f>
        <v>94820.71875</v>
      </c>
      <c r="P186" s="1" t="n">
        <f aca="false">IFERROR(SQRT(J186/H186),"")</f>
        <v>56.9313154053558</v>
      </c>
      <c r="Q186" s="1" t="n">
        <f aca="false">IFERROR(SQRT(O186/H186),"")</f>
        <v>8.65948779918574</v>
      </c>
    </row>
    <row r="187" customFormat="false" ht="16.5" hidden="false" customHeight="true" outlineLevel="0" collapsed="false">
      <c r="A187" s="74" t="s">
        <v>621</v>
      </c>
      <c r="B187" s="74" t="s">
        <v>424</v>
      </c>
      <c r="C187" s="74" t="n">
        <v>150</v>
      </c>
      <c r="D187" s="74" t="n">
        <v>65</v>
      </c>
      <c r="E187" s="74" t="n">
        <v>2.3</v>
      </c>
      <c r="F187" s="74" t="n">
        <v>2.3</v>
      </c>
      <c r="G187" s="74" t="n">
        <v>20</v>
      </c>
      <c r="H187" s="74" t="n">
        <f aca="false">E187*(C187-2*F187)+2*D187*F187+2*G187*F187</f>
        <v>725.42</v>
      </c>
      <c r="I187" s="74" t="n">
        <f aca="false">H187*DB_Settings!$G$5</f>
        <v>5.694547</v>
      </c>
      <c r="J187" s="74" t="n">
        <f aca="false">E187*(C187-2*F187)^3/12+2*(D187*F187^3/12+D187*F187*(C187/2-F187/2)^2)+2*(F187*G187^3/12+F187*G187*(C187/2-F187-G187/2)^2)</f>
        <v>2584738.97726667</v>
      </c>
      <c r="K187" s="74" t="n">
        <f aca="false">J187/(C187/2)</f>
        <v>34463.1863635556</v>
      </c>
      <c r="L187" s="74" t="n">
        <f aca="false">E187*(C187-2*F187)</f>
        <v>334.42</v>
      </c>
      <c r="M187" s="78" t="s">
        <v>592</v>
      </c>
      <c r="N187" s="78"/>
      <c r="O187" s="1" t="n">
        <f aca="false">(2*F187*D187^3+(C187-2*F187)*E187^3)/12</f>
        <v>105420.34015</v>
      </c>
      <c r="P187" s="1" t="n">
        <f aca="false">IFERROR(SQRT(J187/H187),"")</f>
        <v>59.6916499465881</v>
      </c>
      <c r="Q187" s="1" t="n">
        <f aca="false">IFERROR(SQRT(O187/H187),"")</f>
        <v>12.0550063667958</v>
      </c>
    </row>
    <row r="188" customFormat="false" ht="16.5" hidden="false" customHeight="true" outlineLevel="0" collapsed="false">
      <c r="A188" s="74" t="s">
        <v>622</v>
      </c>
      <c r="B188" s="74" t="s">
        <v>424</v>
      </c>
      <c r="C188" s="74" t="n">
        <v>150</v>
      </c>
      <c r="D188" s="74" t="n">
        <v>65</v>
      </c>
      <c r="E188" s="74" t="n">
        <v>3.2</v>
      </c>
      <c r="F188" s="74" t="n">
        <v>3.2</v>
      </c>
      <c r="G188" s="74" t="n">
        <v>20</v>
      </c>
      <c r="H188" s="74" t="n">
        <f aca="false">E188*(C188-2*F188)+2*D188*F188+2*G188*F188</f>
        <v>1003.52</v>
      </c>
      <c r="I188" s="74" t="n">
        <f aca="false">H188*DB_Settings!$G$5</f>
        <v>7.877632</v>
      </c>
      <c r="J188" s="74" t="n">
        <f aca="false">E188*(C188-2*F188)^3/12+2*(D188*F188^3/12+D188*F188*(C188/2-F188/2)^2)+2*(F188*G188^3/12+F188*G188*(C188/2-F188-G188/2)^2)</f>
        <v>3524354.62826667</v>
      </c>
      <c r="K188" s="74" t="n">
        <f aca="false">J188/(C188/2)</f>
        <v>46991.3950435556</v>
      </c>
      <c r="L188" s="74" t="n">
        <f aca="false">E188*(C188-2*F188)</f>
        <v>459.52</v>
      </c>
      <c r="M188" s="78" t="s">
        <v>592</v>
      </c>
      <c r="N188" s="78"/>
      <c r="O188" s="1" t="n">
        <f aca="false">(2*F188*D188^3+(C188-2*F188)*E188^3)/12</f>
        <v>146858.7904</v>
      </c>
      <c r="P188" s="1" t="n">
        <f aca="false">IFERROR(SQRT(J188/H188),"")</f>
        <v>59.2620655644569</v>
      </c>
      <c r="Q188" s="1" t="n">
        <f aca="false">IFERROR(SQRT(O188/H188),"")</f>
        <v>12.0972583966073</v>
      </c>
    </row>
    <row r="189" customFormat="false" ht="16.5" hidden="false" customHeight="true" outlineLevel="0" collapsed="false">
      <c r="A189" s="74" t="s">
        <v>623</v>
      </c>
      <c r="B189" s="74" t="s">
        <v>424</v>
      </c>
      <c r="C189" s="74" t="n">
        <v>150</v>
      </c>
      <c r="D189" s="74" t="n">
        <v>65</v>
      </c>
      <c r="E189" s="74" t="n">
        <v>4</v>
      </c>
      <c r="F189" s="74" t="n">
        <v>4</v>
      </c>
      <c r="G189" s="74" t="n">
        <v>20</v>
      </c>
      <c r="H189" s="74" t="n">
        <f aca="false">E189*(C189-2*F189)+2*D189*F189+2*G189*F189</f>
        <v>1248</v>
      </c>
      <c r="I189" s="74" t="n">
        <f aca="false">H189*DB_Settings!$G$5</f>
        <v>9.7968</v>
      </c>
      <c r="J189" s="74" t="n">
        <f aca="false">E189*(C189-2*F189)^3/12+2*(D189*F189^3/12+D189*F189*(C189/2-F189/2)^2)+2*(F189*G189^3/12+F189*G189*(C189/2-F189-G189/2)^2)</f>
        <v>4326896</v>
      </c>
      <c r="K189" s="74" t="n">
        <f aca="false">J189/(C189/2)</f>
        <v>57691.9466666667</v>
      </c>
      <c r="L189" s="74" t="n">
        <f aca="false">E189*(C189-2*F189)</f>
        <v>568</v>
      </c>
      <c r="M189" s="78" t="s">
        <v>592</v>
      </c>
      <c r="N189" s="78"/>
      <c r="O189" s="1" t="n">
        <f aca="false">(2*F189*D189^3+(C189-2*F189)*E189^3)/12</f>
        <v>183840.666666667</v>
      </c>
      <c r="P189" s="1" t="n">
        <f aca="false">IFERROR(SQRT(J189/H189),"")</f>
        <v>58.8817807353353</v>
      </c>
      <c r="Q189" s="1" t="n">
        <f aca="false">IFERROR(SQRT(O189/H189),"")</f>
        <v>12.1370600433436</v>
      </c>
    </row>
    <row r="190" customFormat="false" ht="16.5" hidden="false" customHeight="true" outlineLevel="0" collapsed="false">
      <c r="A190" s="74" t="s">
        <v>624</v>
      </c>
      <c r="B190" s="74" t="s">
        <v>424</v>
      </c>
      <c r="C190" s="74" t="n">
        <v>150</v>
      </c>
      <c r="D190" s="74" t="n">
        <v>75</v>
      </c>
      <c r="E190" s="74" t="n">
        <v>3.2</v>
      </c>
      <c r="F190" s="74" t="n">
        <v>3.2</v>
      </c>
      <c r="G190" s="74" t="n">
        <v>20</v>
      </c>
      <c r="H190" s="74" t="n">
        <f aca="false">E190*(C190-2*F190)+2*D190*F190+2*G190*F190</f>
        <v>1067.52</v>
      </c>
      <c r="I190" s="74" t="n">
        <f aca="false">H190*DB_Settings!$G$5</f>
        <v>8.380032</v>
      </c>
      <c r="J190" s="74" t="n">
        <f aca="false">E190*(C190-2*F190)^3/12+2*(D190*F190^3/12+D190*F190*(C190/2-F190/2)^2)+2*(F190*G190^3/12+F190*G190*(C190/2-F190-G190/2)^2)</f>
        <v>3869213.0816</v>
      </c>
      <c r="K190" s="74" t="n">
        <f aca="false">J190/(C190/2)</f>
        <v>51589.5077546667</v>
      </c>
      <c r="L190" s="74" t="n">
        <f aca="false">E190*(C190-2*F190)</f>
        <v>459.52</v>
      </c>
      <c r="M190" s="78" t="s">
        <v>592</v>
      </c>
      <c r="N190" s="78"/>
      <c r="O190" s="1" t="n">
        <f aca="false">(2*F190*D190^3+(C190-2*F190)*E190^3)/12</f>
        <v>225392.123733333</v>
      </c>
      <c r="P190" s="1" t="n">
        <f aca="false">IFERROR(SQRT(J190/H190),"")</f>
        <v>60.2037181066162</v>
      </c>
      <c r="Q190" s="1" t="n">
        <f aca="false">IFERROR(SQRT(O190/H190),"")</f>
        <v>14.5305267294194</v>
      </c>
    </row>
    <row r="191" customFormat="false" ht="16.5" hidden="false" customHeight="true" outlineLevel="0" collapsed="false">
      <c r="A191" s="74" t="s">
        <v>625</v>
      </c>
      <c r="B191" s="74" t="s">
        <v>424</v>
      </c>
      <c r="C191" s="74" t="n">
        <v>150</v>
      </c>
      <c r="D191" s="74" t="n">
        <v>75</v>
      </c>
      <c r="E191" s="74" t="n">
        <v>4</v>
      </c>
      <c r="F191" s="74" t="n">
        <v>4</v>
      </c>
      <c r="G191" s="74" t="n">
        <v>20</v>
      </c>
      <c r="H191" s="74" t="n">
        <f aca="false">E191*(C191-2*F191)+2*D191*F191+2*G191*F191</f>
        <v>1328</v>
      </c>
      <c r="I191" s="74" t="n">
        <f aca="false">H191*DB_Settings!$G$5</f>
        <v>10.4248</v>
      </c>
      <c r="J191" s="74" t="n">
        <f aca="false">E191*(C191-2*F191)^3/12+2*(D191*F191^3/12+D191*F191*(C191/2-F191/2)^2)+2*(F191*G191^3/12+F191*G191*(C191/2-F191-G191/2)^2)</f>
        <v>4753322.66666667</v>
      </c>
      <c r="K191" s="74" t="n">
        <f aca="false">J191/(C191/2)</f>
        <v>63377.6355555556</v>
      </c>
      <c r="L191" s="74" t="n">
        <f aca="false">E191*(C191-2*F191)</f>
        <v>568</v>
      </c>
      <c r="M191" s="78" t="s">
        <v>592</v>
      </c>
      <c r="N191" s="78"/>
      <c r="O191" s="1" t="n">
        <f aca="false">(2*F191*D191^3+(C191-2*F191)*E191^3)/12</f>
        <v>282007.333333333</v>
      </c>
      <c r="P191" s="1" t="n">
        <f aca="false">IFERROR(SQRT(J191/H191),"")</f>
        <v>59.8273285125434</v>
      </c>
      <c r="Q191" s="1" t="n">
        <f aca="false">IFERROR(SQRT(O191/H191),"")</f>
        <v>14.5724026735029</v>
      </c>
    </row>
    <row r="192" customFormat="false" ht="16.5" hidden="false" customHeight="true" outlineLevel="0" collapsed="false">
      <c r="A192" s="74" t="s">
        <v>626</v>
      </c>
      <c r="B192" s="74" t="s">
        <v>424</v>
      </c>
      <c r="C192" s="74" t="n">
        <v>150</v>
      </c>
      <c r="D192" s="74" t="n">
        <v>75</v>
      </c>
      <c r="E192" s="74" t="n">
        <v>4.5</v>
      </c>
      <c r="F192" s="74" t="n">
        <v>4.5</v>
      </c>
      <c r="G192" s="74" t="n">
        <v>20</v>
      </c>
      <c r="H192" s="74" t="n">
        <f aca="false">E192*(C192-2*F192)+2*D192*F192+2*G192*F192</f>
        <v>1489.5</v>
      </c>
      <c r="I192" s="74" t="n">
        <f aca="false">H192*DB_Settings!$G$5</f>
        <v>11.692575</v>
      </c>
      <c r="J192" s="74" t="n">
        <f aca="false">E192*(C192-2*F192)^3/12+2*(D192*F192^3/12+D192*F192*(C192/2-F192/2)^2)+2*(F192*G192^3/12+F192*G192*(C192/2-F192-G192/2)^2)</f>
        <v>5289671.625</v>
      </c>
      <c r="K192" s="74" t="n">
        <f aca="false">J192/(C192/2)</f>
        <v>70528.955</v>
      </c>
      <c r="L192" s="74" t="n">
        <f aca="false">E192*(C192-2*F192)</f>
        <v>634.5</v>
      </c>
      <c r="M192" s="78" t="s">
        <v>592</v>
      </c>
      <c r="N192" s="78"/>
      <c r="O192" s="1" t="n">
        <f aca="false">(2*F192*D192^3+(C192-2*F192)*E192^3)/12</f>
        <v>317476.96875</v>
      </c>
      <c r="P192" s="1" t="n">
        <f aca="false">IFERROR(SQRT(J192/H192),"")</f>
        <v>59.5928426766841</v>
      </c>
      <c r="Q192" s="1" t="n">
        <f aca="false">IFERROR(SQRT(O192/H192),"")</f>
        <v>14.5994286090234</v>
      </c>
    </row>
    <row r="193" customFormat="false" ht="16.5" hidden="false" customHeight="true" outlineLevel="0" collapsed="false">
      <c r="A193" s="74" t="s">
        <v>627</v>
      </c>
      <c r="B193" s="74" t="s">
        <v>424</v>
      </c>
      <c r="C193" s="74" t="n">
        <v>150</v>
      </c>
      <c r="D193" s="74" t="n">
        <v>75</v>
      </c>
      <c r="E193" s="74" t="n">
        <v>3.2</v>
      </c>
      <c r="F193" s="74" t="n">
        <v>3.2</v>
      </c>
      <c r="G193" s="74" t="n">
        <v>25</v>
      </c>
      <c r="H193" s="74" t="n">
        <f aca="false">E193*(C193-2*F193)+2*D193*F193+2*G193*F193</f>
        <v>1099.52</v>
      </c>
      <c r="I193" s="74" t="n">
        <f aca="false">H193*DB_Settings!$G$5</f>
        <v>8.631232</v>
      </c>
      <c r="J193" s="74" t="n">
        <f aca="false">E193*(C193-2*F193)^3/12+2*(D193*F193^3/12+D193*F193*(C193/2-F193/2)^2)+2*(F193*G193^3/12+F193*G193*(C193/2-F193-G193/2)^2)</f>
        <v>3947055.42826667</v>
      </c>
      <c r="K193" s="74" t="n">
        <f aca="false">J193/(C193/2)</f>
        <v>52627.4057102222</v>
      </c>
      <c r="L193" s="74" t="n">
        <f aca="false">E193*(C193-2*F193)</f>
        <v>459.52</v>
      </c>
      <c r="M193" s="78" t="s">
        <v>592</v>
      </c>
      <c r="N193" s="78"/>
      <c r="O193" s="1" t="n">
        <f aca="false">(2*F193*D193^3+(C193-2*F193)*E193^3)/12</f>
        <v>225392.123733333</v>
      </c>
      <c r="P193" s="1" t="n">
        <f aca="false">IFERROR(SQRT(J193/H193),"")</f>
        <v>59.9149285663805</v>
      </c>
      <c r="Q193" s="1" t="n">
        <f aca="false">IFERROR(SQRT(O193/H193),"")</f>
        <v>14.3175200873371</v>
      </c>
    </row>
    <row r="194" customFormat="false" ht="16.5" hidden="false" customHeight="true" outlineLevel="0" collapsed="false">
      <c r="A194" s="74" t="s">
        <v>628</v>
      </c>
      <c r="B194" s="74" t="s">
        <v>424</v>
      </c>
      <c r="C194" s="74" t="n">
        <v>150</v>
      </c>
      <c r="D194" s="74" t="n">
        <v>75</v>
      </c>
      <c r="E194" s="74" t="n">
        <v>4</v>
      </c>
      <c r="F194" s="74" t="n">
        <v>4</v>
      </c>
      <c r="G194" s="74" t="n">
        <v>25</v>
      </c>
      <c r="H194" s="74" t="n">
        <f aca="false">E194*(C194-2*F194)+2*D194*F194+2*G194*F194</f>
        <v>1368</v>
      </c>
      <c r="I194" s="74" t="n">
        <f aca="false">H194*DB_Settings!$G$5</f>
        <v>10.7388</v>
      </c>
      <c r="J194" s="74" t="n">
        <f aca="false">E194*(C194-2*F194)^3/12+2*(D194*F194^3/12+D194*F194*(C194/2-F194/2)^2)+2*(F194*G194^3/12+F194*G194*(C194/2-F194-G194/2)^2)</f>
        <v>4847496</v>
      </c>
      <c r="K194" s="74" t="n">
        <f aca="false">J194/(C194/2)</f>
        <v>64633.28</v>
      </c>
      <c r="L194" s="74" t="n">
        <f aca="false">E194*(C194-2*F194)</f>
        <v>568</v>
      </c>
      <c r="M194" s="78" t="s">
        <v>592</v>
      </c>
      <c r="N194" s="78"/>
      <c r="O194" s="1" t="n">
        <f aca="false">(2*F194*D194^3+(C194-2*F194)*E194^3)/12</f>
        <v>282007.333333333</v>
      </c>
      <c r="P194" s="1" t="n">
        <f aca="false">IFERROR(SQRT(J194/H194),"")</f>
        <v>59.5272309793608</v>
      </c>
      <c r="Q194" s="1" t="n">
        <f aca="false">IFERROR(SQRT(O194/H194),"")</f>
        <v>14.3577752977603</v>
      </c>
    </row>
    <row r="195" customFormat="false" ht="16.5" hidden="false" customHeight="true" outlineLevel="0" collapsed="false">
      <c r="A195" s="74" t="s">
        <v>629</v>
      </c>
      <c r="B195" s="74" t="s">
        <v>424</v>
      </c>
      <c r="C195" s="74" t="n">
        <v>150</v>
      </c>
      <c r="D195" s="74" t="n">
        <v>75</v>
      </c>
      <c r="E195" s="74" t="n">
        <v>4.5</v>
      </c>
      <c r="F195" s="74" t="n">
        <v>4.5</v>
      </c>
      <c r="G195" s="74" t="n">
        <v>25</v>
      </c>
      <c r="H195" s="74" t="n">
        <f aca="false">E195*(C195-2*F195)+2*D195*F195+2*G195*F195</f>
        <v>1534.5</v>
      </c>
      <c r="I195" s="74" t="n">
        <f aca="false">H195*DB_Settings!$G$5</f>
        <v>12.045825</v>
      </c>
      <c r="J195" s="74" t="n">
        <f aca="false">E195*(C195-2*F195)^3/12+2*(D195*F195^3/12+D195*F195*(C195/2-F195/2)^2)+2*(F195*G195^3/12+F195*G195*(C195/2-F195-G195/2)^2)</f>
        <v>5393445.375</v>
      </c>
      <c r="K195" s="74" t="n">
        <f aca="false">J195/(C195/2)</f>
        <v>71912.605</v>
      </c>
      <c r="L195" s="74" t="n">
        <f aca="false">E195*(C195-2*F195)</f>
        <v>634.5</v>
      </c>
      <c r="M195" s="78" t="s">
        <v>592</v>
      </c>
      <c r="N195" s="78"/>
      <c r="O195" s="1" t="n">
        <f aca="false">(2*F195*D195^3+(C195-2*F195)*E195^3)/12</f>
        <v>317476.96875</v>
      </c>
      <c r="P195" s="1" t="n">
        <f aca="false">IFERROR(SQRT(J195/H195),"")</f>
        <v>59.285665031282</v>
      </c>
      <c r="Q195" s="1" t="n">
        <f aca="false">IFERROR(SQRT(O195/H195),"")</f>
        <v>14.3837678857932</v>
      </c>
    </row>
    <row r="196" customFormat="false" ht="16.5" hidden="false" customHeight="true" outlineLevel="0" collapsed="false">
      <c r="A196" s="74" t="s">
        <v>630</v>
      </c>
      <c r="B196" s="74" t="s">
        <v>424</v>
      </c>
      <c r="C196" s="74" t="n">
        <v>200</v>
      </c>
      <c r="D196" s="74" t="n">
        <v>75</v>
      </c>
      <c r="E196" s="74" t="n">
        <v>3.2</v>
      </c>
      <c r="F196" s="74" t="n">
        <v>3.2</v>
      </c>
      <c r="G196" s="74" t="n">
        <v>20</v>
      </c>
      <c r="H196" s="74" t="n">
        <f aca="false">E196*(C196-2*F196)+2*D196*F196+2*G196*F196</f>
        <v>1227.52</v>
      </c>
      <c r="I196" s="74" t="n">
        <f aca="false">H196*DB_Settings!$G$5</f>
        <v>9.636032</v>
      </c>
      <c r="J196" s="74" t="n">
        <f aca="false">E196*(C196-2*F196)^3/12+2*(D196*F196^3/12+D196*F196*(C196/2-F196/2)^2)+2*(F196*G196^3/12+F196*G196*(C196/2-F196-G196/2)^2)</f>
        <v>7551704.81493333</v>
      </c>
      <c r="K196" s="74" t="n">
        <f aca="false">J196/(C196/2)</f>
        <v>75517.0481493333</v>
      </c>
      <c r="L196" s="74" t="n">
        <f aca="false">E196*(C196-2*F196)</f>
        <v>619.52</v>
      </c>
      <c r="M196" s="78" t="s">
        <v>592</v>
      </c>
      <c r="N196" s="78"/>
      <c r="O196" s="1" t="n">
        <f aca="false">(2*F196*D196^3+(C196-2*F196)*E196^3)/12</f>
        <v>225528.657066667</v>
      </c>
      <c r="P196" s="1" t="n">
        <f aca="false">IFERROR(SQRT(J196/H196),"")</f>
        <v>78.4346954220557</v>
      </c>
      <c r="Q196" s="1" t="n">
        <f aca="false">IFERROR(SQRT(O196/H196),"")</f>
        <v>13.5545960227624</v>
      </c>
    </row>
    <row r="197" customFormat="false" ht="16.5" hidden="false" customHeight="true" outlineLevel="0" collapsed="false">
      <c r="A197" s="74" t="s">
        <v>631</v>
      </c>
      <c r="B197" s="74" t="s">
        <v>424</v>
      </c>
      <c r="C197" s="74" t="n">
        <v>200</v>
      </c>
      <c r="D197" s="74" t="n">
        <v>75</v>
      </c>
      <c r="E197" s="74" t="n">
        <v>4</v>
      </c>
      <c r="F197" s="74" t="n">
        <v>4</v>
      </c>
      <c r="G197" s="74" t="n">
        <v>20</v>
      </c>
      <c r="H197" s="74" t="n">
        <f aca="false">E197*(C197-2*F197)+2*D197*F197+2*G197*F197</f>
        <v>1528</v>
      </c>
      <c r="I197" s="74" t="n">
        <f aca="false">H197*DB_Settings!$G$5</f>
        <v>11.9948</v>
      </c>
      <c r="J197" s="74" t="n">
        <f aca="false">E197*(C197-2*F197)^3/12+2*(D197*F197^3/12+D197*F197*(C197/2-F197/2)^2)+2*(F197*G197^3/12+F197*G197*(C197/2-F197-G197/2)^2)</f>
        <v>9311189.33333333</v>
      </c>
      <c r="K197" s="74" t="n">
        <f aca="false">J197/(C197/2)</f>
        <v>93111.8933333333</v>
      </c>
      <c r="L197" s="74" t="n">
        <f aca="false">E197*(C197-2*F197)</f>
        <v>768</v>
      </c>
      <c r="M197" s="78" t="s">
        <v>592</v>
      </c>
      <c r="N197" s="78"/>
      <c r="O197" s="1" t="n">
        <f aca="false">(2*F197*D197^3+(C197-2*F197)*E197^3)/12</f>
        <v>282274</v>
      </c>
      <c r="P197" s="1" t="n">
        <f aca="false">IFERROR(SQRT(J197/H197),"")</f>
        <v>78.0622206748189</v>
      </c>
      <c r="Q197" s="1" t="n">
        <f aca="false">IFERROR(SQRT(O197/H197),"")</f>
        <v>13.5916994225784</v>
      </c>
    </row>
    <row r="198" customFormat="false" ht="16.5" hidden="false" customHeight="true" outlineLevel="0" collapsed="false">
      <c r="A198" s="74" t="s">
        <v>632</v>
      </c>
      <c r="B198" s="74" t="s">
        <v>424</v>
      </c>
      <c r="C198" s="74" t="n">
        <v>200</v>
      </c>
      <c r="D198" s="74" t="n">
        <v>75</v>
      </c>
      <c r="E198" s="74" t="n">
        <v>4.5</v>
      </c>
      <c r="F198" s="74" t="n">
        <v>4.5</v>
      </c>
      <c r="G198" s="74" t="n">
        <v>20</v>
      </c>
      <c r="H198" s="74" t="n">
        <f aca="false">E198*(C198-2*F198)+2*D198*F198+2*G198*F198</f>
        <v>1714.5</v>
      </c>
      <c r="I198" s="74" t="n">
        <f aca="false">H198*DB_Settings!$G$5</f>
        <v>13.458825</v>
      </c>
      <c r="J198" s="74" t="n">
        <f aca="false">E198*(C198-2*F198)^3/12+2*(D198*F198^3/12+D198*F198*(C198/2-F198/2)^2)+2*(F198*G198^3/12+F198*G198*(C198/2-F198-G198/2)^2)</f>
        <v>10385602.875</v>
      </c>
      <c r="K198" s="74" t="n">
        <f aca="false">J198/(C198/2)</f>
        <v>103856.02875</v>
      </c>
      <c r="L198" s="74" t="n">
        <f aca="false">E198*(C198-2*F198)</f>
        <v>859.5</v>
      </c>
      <c r="M198" s="78" t="s">
        <v>592</v>
      </c>
      <c r="N198" s="78"/>
      <c r="O198" s="1" t="n">
        <f aca="false">(2*F198*D198^3+(C198-2*F198)*E198^3)/12</f>
        <v>317856.65625</v>
      </c>
      <c r="P198" s="1" t="n">
        <f aca="false">IFERROR(SQRT(J198/H198),"")</f>
        <v>77.8300144857731</v>
      </c>
      <c r="Q198" s="1" t="n">
        <f aca="false">IFERROR(SQRT(O198/H198),"")</f>
        <v>13.6159174740969</v>
      </c>
    </row>
    <row r="199" customFormat="false" ht="16.5" hidden="false" customHeight="true" outlineLevel="0" collapsed="false">
      <c r="A199" s="74" t="s">
        <v>633</v>
      </c>
      <c r="B199" s="74" t="s">
        <v>424</v>
      </c>
      <c r="C199" s="74" t="n">
        <v>200</v>
      </c>
      <c r="D199" s="74" t="n">
        <v>75</v>
      </c>
      <c r="E199" s="74" t="n">
        <v>3.2</v>
      </c>
      <c r="F199" s="74" t="n">
        <v>3.2</v>
      </c>
      <c r="G199" s="74" t="n">
        <v>25</v>
      </c>
      <c r="H199" s="74" t="n">
        <f aca="false">E199*(C199-2*F199)+2*D199*F199+2*G199*F199</f>
        <v>1259.52</v>
      </c>
      <c r="I199" s="74" t="n">
        <f aca="false">H199*DB_Settings!$G$5</f>
        <v>9.887232</v>
      </c>
      <c r="J199" s="74" t="n">
        <f aca="false">E199*(C199-2*F199)^3/12+2*(D199*F199^3/12+D199*F199*(C199/2-F199/2)^2)+2*(F199*G199^3/12+F199*G199*(C199/2-F199-G199/2)^2)</f>
        <v>7728427.1616</v>
      </c>
      <c r="K199" s="74" t="n">
        <f aca="false">J199/(C199/2)</f>
        <v>77284.271616</v>
      </c>
      <c r="L199" s="74" t="n">
        <f aca="false">E199*(C199-2*F199)</f>
        <v>619.52</v>
      </c>
      <c r="M199" s="78" t="s">
        <v>592</v>
      </c>
      <c r="N199" s="78"/>
      <c r="O199" s="1" t="n">
        <f aca="false">(2*F199*D199^3+(C199-2*F199)*E199^3)/12</f>
        <v>225528.657066667</v>
      </c>
      <c r="P199" s="1" t="n">
        <f aca="false">IFERROR(SQRT(J199/H199),"")</f>
        <v>78.3326871621852</v>
      </c>
      <c r="Q199" s="1" t="n">
        <f aca="false">IFERROR(SQRT(O199/H199),"")</f>
        <v>13.3813007852229</v>
      </c>
    </row>
    <row r="200" customFormat="false" ht="16.5" hidden="false" customHeight="true" outlineLevel="0" collapsed="false">
      <c r="A200" s="74" t="s">
        <v>634</v>
      </c>
      <c r="B200" s="74" t="s">
        <v>424</v>
      </c>
      <c r="C200" s="74" t="n">
        <v>200</v>
      </c>
      <c r="D200" s="74" t="n">
        <v>75</v>
      </c>
      <c r="E200" s="74" t="n">
        <v>4</v>
      </c>
      <c r="F200" s="74" t="n">
        <v>4</v>
      </c>
      <c r="G200" s="74" t="n">
        <v>25</v>
      </c>
      <c r="H200" s="74" t="n">
        <f aca="false">E200*(C200-2*F200)+2*D200*F200+2*G200*F200</f>
        <v>1568</v>
      </c>
      <c r="I200" s="74" t="n">
        <f aca="false">H200*DB_Settings!$G$5</f>
        <v>12.3088</v>
      </c>
      <c r="J200" s="74" t="n">
        <f aca="false">E200*(C200-2*F200)^3/12+2*(D200*F200^3/12+D200*F200*(C200/2-F200/2)^2)+2*(F200*G200^3/12+F200*G200*(C200/2-F200-G200/2)^2)</f>
        <v>9527362.66666667</v>
      </c>
      <c r="K200" s="74" t="n">
        <f aca="false">J200/(C200/2)</f>
        <v>95273.6266666667</v>
      </c>
      <c r="L200" s="74" t="n">
        <f aca="false">E200*(C200-2*F200)</f>
        <v>768</v>
      </c>
      <c r="M200" s="78" t="s">
        <v>592</v>
      </c>
      <c r="N200" s="78"/>
      <c r="O200" s="1" t="n">
        <f aca="false">(2*F200*D200^3+(C200-2*F200)*E200^3)/12</f>
        <v>282274</v>
      </c>
      <c r="P200" s="1" t="n">
        <f aca="false">IFERROR(SQRT(J200/H200),"")</f>
        <v>77.9494974304509</v>
      </c>
      <c r="Q200" s="1" t="n">
        <f aca="false">IFERROR(SQRT(O200/H200),"")</f>
        <v>13.4172159434612</v>
      </c>
    </row>
    <row r="201" customFormat="false" ht="16.5" hidden="false" customHeight="true" outlineLevel="0" collapsed="false">
      <c r="A201" s="74" t="s">
        <v>635</v>
      </c>
      <c r="B201" s="74" t="s">
        <v>424</v>
      </c>
      <c r="C201" s="74" t="n">
        <v>200</v>
      </c>
      <c r="D201" s="74" t="n">
        <v>75</v>
      </c>
      <c r="E201" s="74" t="n">
        <v>4.5</v>
      </c>
      <c r="F201" s="74" t="n">
        <v>4.5</v>
      </c>
      <c r="G201" s="74" t="n">
        <v>25</v>
      </c>
      <c r="H201" s="74" t="n">
        <f aca="false">E201*(C201-2*F201)+2*D201*F201+2*G201*F201</f>
        <v>1759.5</v>
      </c>
      <c r="I201" s="74" t="n">
        <f aca="false">H201*DB_Settings!$G$5</f>
        <v>13.812075</v>
      </c>
      <c r="J201" s="74" t="n">
        <f aca="false">E201*(C201-2*F201)^3/12+2*(D201*F201^3/12+D201*F201*(C201/2-F201/2)^2)+2*(F201*G201^3/12+F201*G201*(C201/2-F201-G201/2)^2)</f>
        <v>10625501.625</v>
      </c>
      <c r="K201" s="74" t="n">
        <f aca="false">J201/(C201/2)</f>
        <v>106255.01625</v>
      </c>
      <c r="L201" s="74" t="n">
        <f aca="false">E201*(C201-2*F201)</f>
        <v>859.5</v>
      </c>
      <c r="M201" s="78" t="s">
        <v>592</v>
      </c>
      <c r="N201" s="78"/>
      <c r="O201" s="1" t="n">
        <f aca="false">(2*F201*D201^3+(C201-2*F201)*E201^3)/12</f>
        <v>317856.65625</v>
      </c>
      <c r="P201" s="1" t="n">
        <f aca="false">IFERROR(SQRT(J201/H201),"")</f>
        <v>77.7105683816086</v>
      </c>
      <c r="Q201" s="1" t="n">
        <f aca="false">IFERROR(SQRT(O201/H201),"")</f>
        <v>13.4406731369155</v>
      </c>
    </row>
    <row r="202" customFormat="false" ht="16.5" hidden="false" customHeight="true" outlineLevel="0" collapsed="false">
      <c r="A202" s="74" t="s">
        <v>636</v>
      </c>
      <c r="B202" s="74" t="s">
        <v>424</v>
      </c>
      <c r="C202" s="74" t="n">
        <v>250</v>
      </c>
      <c r="D202" s="74" t="n">
        <v>75</v>
      </c>
      <c r="E202" s="74" t="n">
        <v>4.5</v>
      </c>
      <c r="F202" s="74" t="n">
        <v>4.5</v>
      </c>
      <c r="G202" s="74" t="n">
        <v>25</v>
      </c>
      <c r="H202" s="74" t="n">
        <f aca="false">E202*(C202-2*F202)+2*D202*F202+2*G202*F202</f>
        <v>1984.5</v>
      </c>
      <c r="I202" s="74" t="n">
        <f aca="false">H202*DB_Settings!$G$5</f>
        <v>15.578325</v>
      </c>
      <c r="J202" s="74" t="n">
        <f aca="false">E202*(C202-2*F202)^3/12+2*(D202*F202^3/12+D202*F202*(C202/2-F202/2)^2)+2*(F202*G202^3/12+F202*G202*(C202/2-F202-G202/2)^2)</f>
        <v>18056932.875</v>
      </c>
      <c r="K202" s="74" t="n">
        <f aca="false">J202/(C202/2)</f>
        <v>144455.463</v>
      </c>
      <c r="L202" s="74" t="n">
        <f aca="false">E202*(C202-2*F202)</f>
        <v>1084.5</v>
      </c>
      <c r="M202" s="78" t="s">
        <v>592</v>
      </c>
      <c r="N202" s="78"/>
      <c r="O202" s="1" t="n">
        <f aca="false">(2*F202*D202^3+(C202-2*F202)*E202^3)/12</f>
        <v>318236.34375</v>
      </c>
      <c r="P202" s="1" t="n">
        <f aca="false">IFERROR(SQRT(J202/H202),"")</f>
        <v>95.3885924001959</v>
      </c>
      <c r="Q202" s="1" t="n">
        <f aca="false">IFERROR(SQRT(O202/H202),"")</f>
        <v>12.6633711699435</v>
      </c>
    </row>
    <row r="203" customFormat="false" ht="32.25" hidden="false" customHeight="true" outlineLevel="0" collapsed="false">
      <c r="A203" s="74" t="s">
        <v>637</v>
      </c>
      <c r="B203" s="74" t="s">
        <v>429</v>
      </c>
      <c r="C203" s="74" t="n">
        <v>25</v>
      </c>
      <c r="D203" s="74" t="n">
        <v>25</v>
      </c>
      <c r="E203" s="74" t="n">
        <v>3</v>
      </c>
      <c r="F203" s="74" t="n">
        <v>3</v>
      </c>
      <c r="G203" s="74" t="n">
        <v>0</v>
      </c>
      <c r="H203" s="74" t="n">
        <f aca="false">C203*E203+D203*F203-E203^2</f>
        <v>141</v>
      </c>
      <c r="I203" s="74" t="n">
        <f aca="false">H203*DB_Settings!$G$5</f>
        <v>1.10685</v>
      </c>
      <c r="J203" s="74" t="n">
        <f aca="false">(E203*C203^3/12+E203*C203*(C203/2-((E203*C203*(C203/2)+D203*F203*(F203/2)-E203^2*(F203/2))/(E203*C203+D203*F203-E203^2)))^2)+(D203*F203^3/12+D203*F203*(F203/2-((E203*C203*(C203/2)+D203*F203*(F203/2)-E203^2*(F203/2))/(E203*C203+D203*F203-E203^2)))^2)-(E203^4/12+E203^2*(F203/2-((E203*C203*(C203/2)+D203*F203*(F203/2)-E203^2*(F203/2))/(E203*C203+D203*F203-E203^2)))^2)</f>
        <v>8203.62234042553</v>
      </c>
      <c r="K203" s="74" t="n">
        <f aca="false">J203/MAX(((E203*C203*(C203/2)+D203*F203*(F203/2)-E203^2*(F203/2))/(E203*C203+D203*F203-E203^2)),C203-((E203*C203*(C203/2)+D203*F203*(F203/2)-E203^2*(F203/2))/(E203*C203+D203*F203-E203^2)))</f>
        <v>464.822483423749</v>
      </c>
      <c r="L203" s="74" t="n">
        <f aca="false">E203*(C203-F203)</f>
        <v>66</v>
      </c>
      <c r="M203" s="78" t="s">
        <v>638</v>
      </c>
      <c r="N203" s="78"/>
      <c r="O203" s="1" t="n">
        <f aca="false">(2*F203*D203^3+(C203-2*F203)*E203^3)/12</f>
        <v>7855.25</v>
      </c>
      <c r="P203" s="1" t="n">
        <f aca="false">IFERROR(SQRT(J203/H203),"")</f>
        <v>7.62769419460575</v>
      </c>
      <c r="Q203" s="1" t="n">
        <f aca="false">IFERROR(SQRT(O203/H203),"")</f>
        <v>7.46397969636851</v>
      </c>
    </row>
    <row r="204" customFormat="false" ht="32.25" hidden="false" customHeight="true" outlineLevel="0" collapsed="false">
      <c r="A204" s="74" t="s">
        <v>639</v>
      </c>
      <c r="B204" s="74" t="s">
        <v>429</v>
      </c>
      <c r="C204" s="74" t="n">
        <v>30</v>
      </c>
      <c r="D204" s="74" t="n">
        <v>30</v>
      </c>
      <c r="E204" s="74" t="n">
        <v>3</v>
      </c>
      <c r="F204" s="74" t="n">
        <v>3</v>
      </c>
      <c r="G204" s="74" t="n">
        <v>0</v>
      </c>
      <c r="H204" s="74" t="n">
        <f aca="false">C204*E204+D204*F204-E204^2</f>
        <v>171</v>
      </c>
      <c r="I204" s="74" t="n">
        <f aca="false">H204*DB_Settings!$G$5</f>
        <v>1.34235</v>
      </c>
      <c r="J204" s="74" t="n">
        <f aca="false">(E204*C204^3/12+E204*C204*(C204/2-((E204*C204*(C204/2)+D204*F204*(F204/2)-E204^2*(F204/2))/(E204*C204+D204*F204-E204^2)))^2)+(D204*F204^3/12+D204*F204*(F204/2-((E204*C204*(C204/2)+D204*F204*(F204/2)-E204^2*(F204/2))/(E204*C204+D204*F204-E204^2)))^2)-(E204^4/12+E204^2*(F204/2-((E204*C204*(C204/2)+D204*F204*(F204/2)-E204^2*(F204/2))/(E204*C204+D204*F204-E204^2)))^2)</f>
        <v>14580.3552631579</v>
      </c>
      <c r="K204" s="74" t="n">
        <f aca="false">J204/MAX(((E204*C204*(C204/2)+D204*F204*(F204/2)-E204^2*(F204/2))/(E204*C204+D204*F204-E204^2)),C204-((E204*C204*(C204/2)+D204*F204*(F204/2)-E204^2*(F204/2))/(E204*C204+D204*F204-E204^2)))</f>
        <v>681.492619926199</v>
      </c>
      <c r="L204" s="74" t="n">
        <f aca="false">E204*(C204-F204)</f>
        <v>81</v>
      </c>
      <c r="M204" s="78" t="s">
        <v>638</v>
      </c>
      <c r="N204" s="78"/>
      <c r="O204" s="1" t="n">
        <f aca="false">(2*F204*D204^3+(C204-2*F204)*E204^3)/12</f>
        <v>13554</v>
      </c>
      <c r="P204" s="1" t="n">
        <f aca="false">IFERROR(SQRT(J204/H204),"")</f>
        <v>9.23391766570743</v>
      </c>
      <c r="Q204" s="1" t="n">
        <f aca="false">IFERROR(SQRT(O204/H204),"")</f>
        <v>8.90298589770515</v>
      </c>
    </row>
    <row r="205" customFormat="false" ht="32.25" hidden="false" customHeight="true" outlineLevel="0" collapsed="false">
      <c r="A205" s="74" t="s">
        <v>640</v>
      </c>
      <c r="B205" s="74" t="s">
        <v>429</v>
      </c>
      <c r="C205" s="74" t="n">
        <v>40</v>
      </c>
      <c r="D205" s="74" t="n">
        <v>40</v>
      </c>
      <c r="E205" s="74" t="n">
        <v>3</v>
      </c>
      <c r="F205" s="74" t="n">
        <v>3</v>
      </c>
      <c r="G205" s="74" t="n">
        <v>0</v>
      </c>
      <c r="H205" s="74" t="n">
        <f aca="false">C205*E205+D205*F205-E205^2</f>
        <v>231</v>
      </c>
      <c r="I205" s="74" t="n">
        <f aca="false">H205*DB_Settings!$G$5</f>
        <v>1.81335</v>
      </c>
      <c r="J205" s="74" t="n">
        <f aca="false">(E205*C205^3/12+E205*C205*(C205/2-((E205*C205*(C205/2)+D205*F205*(F205/2)-E205^2*(F205/2))/(E205*C205+D205*F205-E205^2)))^2)+(D205*F205^3/12+D205*F205*(F205/2-((E205*C205*(C205/2)+D205*F205*(F205/2)-E205^2*(F205/2))/(E205*C205+D205*F205-E205^2)))^2)-(E205^4/12+E205^2*(F205/2-((E205*C205*(C205/2)+D205*F205*(F205/2)-E205^2*(F205/2))/(E205*C205+D205*F205-E205^2)))^2)</f>
        <v>35818.1850649351</v>
      </c>
      <c r="K205" s="74" t="n">
        <f aca="false">J205/MAX(((E205*C205*(C205/2)+D205*F205*(F205/2)-E205^2*(F205/2))/(E205*C205+D205*F205-E205^2)),C205-((E205*C205*(C205/2)+D205*F205*(F205/2)-E205^2*(F205/2))/(E205*C205+D205*F205-E205^2)))</f>
        <v>1239.82928748033</v>
      </c>
      <c r="L205" s="74" t="n">
        <f aca="false">E205*(C205-F205)</f>
        <v>111</v>
      </c>
      <c r="M205" s="78" t="s">
        <v>638</v>
      </c>
      <c r="N205" s="78"/>
      <c r="O205" s="1" t="n">
        <f aca="false">(2*F205*D205^3+(C205-2*F205)*E205^3)/12</f>
        <v>32076.5</v>
      </c>
      <c r="P205" s="1" t="n">
        <f aca="false">IFERROR(SQRT(J205/H205),"")</f>
        <v>12.452191702796</v>
      </c>
      <c r="Q205" s="1" t="n">
        <f aca="false">IFERROR(SQRT(O205/H205),"")</f>
        <v>11.7838579149321</v>
      </c>
    </row>
    <row r="206" customFormat="false" ht="32.25" hidden="false" customHeight="true" outlineLevel="0" collapsed="false">
      <c r="A206" s="74" t="s">
        <v>641</v>
      </c>
      <c r="B206" s="74" t="s">
        <v>429</v>
      </c>
      <c r="C206" s="74" t="n">
        <v>40</v>
      </c>
      <c r="D206" s="74" t="n">
        <v>40</v>
      </c>
      <c r="E206" s="74" t="n">
        <v>5</v>
      </c>
      <c r="F206" s="74" t="n">
        <v>5</v>
      </c>
      <c r="G206" s="74" t="n">
        <v>0</v>
      </c>
      <c r="H206" s="74" t="n">
        <f aca="false">C206*E206+D206*F206-E206^2</f>
        <v>375</v>
      </c>
      <c r="I206" s="74" t="n">
        <f aca="false">H206*DB_Settings!$G$5</f>
        <v>2.94375</v>
      </c>
      <c r="J206" s="74" t="n">
        <f aca="false">(E206*C206^3/12+E206*C206*(C206/2-((E206*C206*(C206/2)+D206*F206*(F206/2)-E206^2*(F206/2))/(E206*C206+D206*F206-E206^2)))^2)+(D206*F206^3/12+D206*F206*(F206/2-((E206*C206*(C206/2)+D206*F206*(F206/2)-E206^2*(F206/2))/(E206*C206+D206*F206-E206^2)))^2)-(E206^4/12+E206^2*(F206/2-((E206*C206*(C206/2)+D206*F206*(F206/2)-E206^2*(F206/2))/(E206*C206+D206*F206-E206^2)))^2)</f>
        <v>55614.5833333333</v>
      </c>
      <c r="K206" s="74" t="n">
        <f aca="false">J206/MAX(((E206*C206*(C206/2)+D206*F206*(F206/2)-E206^2*(F206/2))/(E206*C206+D206*F206-E206^2)),C206-((E206*C206*(C206/2)+D206*F206*(F206/2)-E206^2*(F206/2))/(E206*C206+D206*F206-E206^2)))</f>
        <v>1974.48224852071</v>
      </c>
      <c r="L206" s="74" t="n">
        <f aca="false">E206*(C206-F206)</f>
        <v>175</v>
      </c>
      <c r="M206" s="78" t="s">
        <v>638</v>
      </c>
      <c r="N206" s="78"/>
      <c r="O206" s="1" t="n">
        <f aca="false">(2*F206*D206^3+(C206-2*F206)*E206^3)/12</f>
        <v>53645.8333333333</v>
      </c>
      <c r="P206" s="1" t="n">
        <f aca="false">IFERROR(SQRT(J206/H206),"")</f>
        <v>12.178076841421</v>
      </c>
      <c r="Q206" s="1" t="n">
        <f aca="false">IFERROR(SQRT(O206/H206),"")</f>
        <v>11.9605834120061</v>
      </c>
    </row>
    <row r="207" customFormat="false" ht="32.25" hidden="false" customHeight="true" outlineLevel="0" collapsed="false">
      <c r="A207" s="74" t="s">
        <v>642</v>
      </c>
      <c r="B207" s="74" t="s">
        <v>429</v>
      </c>
      <c r="C207" s="74" t="n">
        <v>45</v>
      </c>
      <c r="D207" s="74" t="n">
        <v>45</v>
      </c>
      <c r="E207" s="74" t="n">
        <v>4</v>
      </c>
      <c r="F207" s="74" t="n">
        <v>4</v>
      </c>
      <c r="G207" s="74" t="n">
        <v>0</v>
      </c>
      <c r="H207" s="74" t="n">
        <f aca="false">C207*E207+D207*F207-E207^2</f>
        <v>344</v>
      </c>
      <c r="I207" s="74" t="n">
        <f aca="false">H207*DB_Settings!$G$5</f>
        <v>2.7004</v>
      </c>
      <c r="J207" s="74" t="n">
        <f aca="false">(E207*C207^3/12+E207*C207*(C207/2-((E207*C207*(C207/2)+D207*F207*(F207/2)-E207^2*(F207/2))/(E207*C207+D207*F207-E207^2)))^2)+(D207*F207^3/12+D207*F207*(F207/2-((E207*C207*(C207/2)+D207*F207*(F207/2)-E207^2*(F207/2))/(E207*C207+D207*F207-E207^2)))^2)-(E207^4/12+E207^2*(F207/2-((E207*C207*(C207/2)+D207*F207*(F207/2)-E207^2*(F207/2))/(E207*C207+D207*F207-E207^2)))^2)</f>
        <v>66656.980620155</v>
      </c>
      <c r="K207" s="74" t="n">
        <f aca="false">J207/MAX(((E207*C207*(C207/2)+D207*F207*(F207/2)-E207^2*(F207/2))/(E207*C207+D207*F207-E207^2)),C207-((E207*C207*(C207/2)+D207*F207*(F207/2)-E207^2*(F207/2))/(E207*C207+D207*F207-E207^2)))</f>
        <v>2065.39374286915</v>
      </c>
      <c r="L207" s="74" t="n">
        <f aca="false">E207*(C207-F207)</f>
        <v>164</v>
      </c>
      <c r="M207" s="78" t="s">
        <v>638</v>
      </c>
      <c r="N207" s="78"/>
      <c r="O207" s="1" t="n">
        <f aca="false">(2*F207*D207^3+(C207-2*F207)*E207^3)/12</f>
        <v>60947.3333333333</v>
      </c>
      <c r="P207" s="1" t="n">
        <f aca="false">IFERROR(SQRT(J207/H207),"")</f>
        <v>13.9201398161244</v>
      </c>
      <c r="Q207" s="1" t="n">
        <f aca="false">IFERROR(SQRT(O207/H207),"")</f>
        <v>13.3106153358947</v>
      </c>
    </row>
    <row r="208" customFormat="false" ht="32.25" hidden="false" customHeight="true" outlineLevel="0" collapsed="false">
      <c r="A208" s="74" t="s">
        <v>643</v>
      </c>
      <c r="B208" s="74" t="s">
        <v>429</v>
      </c>
      <c r="C208" s="74" t="n">
        <v>45</v>
      </c>
      <c r="D208" s="74" t="n">
        <v>45</v>
      </c>
      <c r="E208" s="74" t="n">
        <v>5</v>
      </c>
      <c r="F208" s="74" t="n">
        <v>5</v>
      </c>
      <c r="G208" s="74" t="n">
        <v>0</v>
      </c>
      <c r="H208" s="74" t="n">
        <f aca="false">C208*E208+D208*F208-E208^2</f>
        <v>425</v>
      </c>
      <c r="I208" s="74" t="n">
        <f aca="false">H208*DB_Settings!$G$5</f>
        <v>3.33625</v>
      </c>
      <c r="J208" s="74" t="n">
        <f aca="false">(E208*C208^3/12+E208*C208*(C208/2-((E208*C208*(C208/2)+D208*F208*(F208/2)-E208^2*(F208/2))/(E208*C208+D208*F208-E208^2)))^2)+(D208*F208^3/12+D208*F208*(F208/2-((E208*C208*(C208/2)+D208*F208*(F208/2)-E208^2*(F208/2))/(E208*C208+D208*F208-E208^2)))^2)-(E208^4/12+E208^2*(F208/2-((E208*C208*(C208/2)+D208*F208*(F208/2)-E208^2*(F208/2))/(E208*C208+D208*F208-E208^2)))^2)</f>
        <v>80738.3578431373</v>
      </c>
      <c r="K208" s="74" t="n">
        <f aca="false">J208/MAX(((E208*C208*(C208/2)+D208*F208*(F208/2)-E208^2*(F208/2))/(E208*C208+D208*F208-E208^2)),C208-((E208*C208*(C208/2)+D208*F208*(F208/2)-E208^2*(F208/2))/(E208*C208+D208*F208-E208^2)))</f>
        <v>2530.04992319508</v>
      </c>
      <c r="L208" s="74" t="n">
        <f aca="false">E208*(C208-F208)</f>
        <v>200</v>
      </c>
      <c r="M208" s="78" t="s">
        <v>638</v>
      </c>
      <c r="N208" s="78"/>
      <c r="O208" s="1" t="n">
        <f aca="false">(2*F208*D208^3+(C208-2*F208)*E208^3)/12</f>
        <v>76302.0833333333</v>
      </c>
      <c r="P208" s="1" t="n">
        <f aca="false">IFERROR(SQRT(J208/H208),"")</f>
        <v>13.7830550564719</v>
      </c>
      <c r="Q208" s="1" t="n">
        <f aca="false">IFERROR(SQRT(O208/H208),"")</f>
        <v>13.3990415226422</v>
      </c>
    </row>
    <row r="209" customFormat="false" ht="32.25" hidden="false" customHeight="true" outlineLevel="0" collapsed="false">
      <c r="A209" s="74" t="s">
        <v>644</v>
      </c>
      <c r="B209" s="74" t="s">
        <v>429</v>
      </c>
      <c r="C209" s="74" t="n">
        <v>50</v>
      </c>
      <c r="D209" s="74" t="n">
        <v>50</v>
      </c>
      <c r="E209" s="74" t="n">
        <v>4</v>
      </c>
      <c r="F209" s="74" t="n">
        <v>4</v>
      </c>
      <c r="G209" s="74" t="n">
        <v>0</v>
      </c>
      <c r="H209" s="74" t="n">
        <f aca="false">C209*E209+D209*F209-E209^2</f>
        <v>384</v>
      </c>
      <c r="I209" s="74" t="n">
        <f aca="false">H209*DB_Settings!$G$5</f>
        <v>3.0144</v>
      </c>
      <c r="J209" s="74" t="n">
        <f aca="false">(E209*C209^3/12+E209*C209*(C209/2-((E209*C209*(C209/2)+D209*F209*(F209/2)-E209^2*(F209/2))/(E209*C209+D209*F209-E209^2)))^2)+(D209*F209^3/12+D209*F209*(F209/2-((E209*C209*(C209/2)+D209*F209*(F209/2)-E209^2*(F209/2))/(E209*C209+D209*F209-E209^2)))^2)-(E209^4/12+E209^2*(F209/2-((E209*C209*(C209/2)+D209*F209*(F209/2)-E209^2*(F209/2))/(E209*C209+D209*F209-E209^2)))^2)</f>
        <v>92607.8333333333</v>
      </c>
      <c r="K209" s="74" t="n">
        <f aca="false">J209/MAX(((E209*C209*(C209/2)+D209*F209*(F209/2)-E209^2*(F209/2))/(E209*C209+D209*F209-E209^2)),C209-((E209*C209*(C209/2)+D209*F209*(F209/2)-E209^2*(F209/2))/(E209*C209+D209*F209-E209^2)))</f>
        <v>2570.95199537305</v>
      </c>
      <c r="L209" s="74" t="n">
        <f aca="false">E209*(C209-F209)</f>
        <v>184</v>
      </c>
      <c r="M209" s="78" t="s">
        <v>638</v>
      </c>
      <c r="N209" s="78"/>
      <c r="O209" s="1" t="n">
        <f aca="false">(2*F209*D209^3+(C209-2*F209)*E209^3)/12</f>
        <v>83557.3333333333</v>
      </c>
      <c r="P209" s="1" t="n">
        <f aca="false">IFERROR(SQRT(J209/H209),"")</f>
        <v>15.5295277661263</v>
      </c>
      <c r="Q209" s="1" t="n">
        <f aca="false">IFERROR(SQRT(O209/H209),"")</f>
        <v>14.7511769775236</v>
      </c>
    </row>
    <row r="210" customFormat="false" ht="32.25" hidden="false" customHeight="true" outlineLevel="0" collapsed="false">
      <c r="A210" s="74" t="s">
        <v>645</v>
      </c>
      <c r="B210" s="74" t="s">
        <v>429</v>
      </c>
      <c r="C210" s="74" t="n">
        <v>50</v>
      </c>
      <c r="D210" s="74" t="n">
        <v>50</v>
      </c>
      <c r="E210" s="74" t="n">
        <v>5</v>
      </c>
      <c r="F210" s="74" t="n">
        <v>5</v>
      </c>
      <c r="G210" s="74" t="n">
        <v>0</v>
      </c>
      <c r="H210" s="74" t="n">
        <f aca="false">C210*E210+D210*F210-E210^2</f>
        <v>475</v>
      </c>
      <c r="I210" s="74" t="n">
        <f aca="false">H210*DB_Settings!$G$5</f>
        <v>3.72875</v>
      </c>
      <c r="J210" s="74" t="n">
        <f aca="false">(E210*C210^3/12+E210*C210*(C210/2-((E210*C210*(C210/2)+D210*F210*(F210/2)-E210^2*(F210/2))/(E210*C210+D210*F210-E210^2)))^2)+(D210*F210^3/12+D210*F210*(F210/2-((E210*C210*(C210/2)+D210*F210*(F210/2)-E210^2*(F210/2))/(E210*C210+D210*F210-E210^2)))^2)-(E210^4/12+E210^2*(F210/2-((E210*C210*(C210/2)+D210*F210*(F210/2)-E210^2*(F210/2))/(E210*C210+D210*F210-E210^2)))^2)</f>
        <v>112502.74122807</v>
      </c>
      <c r="K210" s="74" t="n">
        <f aca="false">J210/MAX(((E210*C210*(C210/2)+D210*F210*(F210/2)-E210^2*(F210/2))/(E210*C210+D210*F210-E210^2)),C210-((E210*C210*(C210/2)+D210*F210*(F210/2)-E210^2*(F210/2))/(E210*C210+D210*F210-E210^2)))</f>
        <v>3155.05842558426</v>
      </c>
      <c r="L210" s="74" t="n">
        <f aca="false">E210*(C210-F210)</f>
        <v>225</v>
      </c>
      <c r="M210" s="78" t="s">
        <v>638</v>
      </c>
      <c r="N210" s="78"/>
      <c r="O210" s="1" t="n">
        <f aca="false">(2*F210*D210^3+(C210-2*F210)*E210^3)/12</f>
        <v>104583.333333333</v>
      </c>
      <c r="P210" s="1" t="n">
        <f aca="false">IFERROR(SQRT(J210/H210),"")</f>
        <v>15.389862776179</v>
      </c>
      <c r="Q210" s="1" t="n">
        <f aca="false">IFERROR(SQRT(O210/H210),"")</f>
        <v>14.8383098295086</v>
      </c>
    </row>
    <row r="211" customFormat="false" ht="32.25" hidden="false" customHeight="true" outlineLevel="0" collapsed="false">
      <c r="A211" s="74" t="s">
        <v>646</v>
      </c>
      <c r="B211" s="74" t="s">
        <v>429</v>
      </c>
      <c r="C211" s="74" t="n">
        <v>50</v>
      </c>
      <c r="D211" s="74" t="n">
        <v>50</v>
      </c>
      <c r="E211" s="74" t="n">
        <v>6</v>
      </c>
      <c r="F211" s="74" t="n">
        <v>6</v>
      </c>
      <c r="G211" s="74" t="n">
        <v>0</v>
      </c>
      <c r="H211" s="74" t="n">
        <f aca="false">C211*E211+D211*F211-E211^2</f>
        <v>564</v>
      </c>
      <c r="I211" s="74" t="n">
        <f aca="false">H211*DB_Settings!$G$5</f>
        <v>4.4274</v>
      </c>
      <c r="J211" s="74" t="n">
        <f aca="false">(E211*C211^3/12+E211*C211*(C211/2-((E211*C211*(C211/2)+D211*F211*(F211/2)-E211^2*(F211/2))/(E211*C211+D211*F211-E211^2)))^2)+(D211*F211^3/12+D211*F211*(F211/2-((E211*C211*(C211/2)+D211*F211*(F211/2)-E211^2*(F211/2))/(E211*C211+D211*F211-E211^2)))^2)-(E211^4/12+E211^2*(F211/2-((E211*C211*(C211/2)+D211*F211*(F211/2)-E211^2*(F211/2))/(E211*C211+D211*F211-E211^2)))^2)</f>
        <v>131257.957446809</v>
      </c>
      <c r="K211" s="74" t="n">
        <f aca="false">J211/MAX(((E211*C211*(C211/2)+D211*F211*(F211/2)-E211^2*(F211/2))/(E211*C211+D211*F211-E211^2)),C211-((E211*C211*(C211/2)+D211*F211*(F211/2)-E211^2*(F211/2))/(E211*C211+D211*F211-E211^2)))</f>
        <v>3718.57986738999</v>
      </c>
      <c r="L211" s="74" t="n">
        <f aca="false">E211*(C211-F211)</f>
        <v>264</v>
      </c>
      <c r="M211" s="78" t="s">
        <v>638</v>
      </c>
      <c r="N211" s="78"/>
      <c r="O211" s="1" t="n">
        <f aca="false">(2*F211*D211^3+(C211-2*F211)*E211^3)/12</f>
        <v>125684</v>
      </c>
      <c r="P211" s="1" t="n">
        <f aca="false">IFERROR(SQRT(J211/H211),"")</f>
        <v>15.2553883892115</v>
      </c>
      <c r="Q211" s="1" t="n">
        <f aca="false">IFERROR(SQRT(O211/H211),"")</f>
        <v>14.927959392737</v>
      </c>
    </row>
    <row r="212" customFormat="false" ht="32.25" hidden="false" customHeight="true" outlineLevel="0" collapsed="false">
      <c r="A212" s="74" t="s">
        <v>647</v>
      </c>
      <c r="B212" s="74" t="s">
        <v>429</v>
      </c>
      <c r="C212" s="74" t="n">
        <v>60</v>
      </c>
      <c r="D212" s="74" t="n">
        <v>60</v>
      </c>
      <c r="E212" s="74" t="n">
        <v>4</v>
      </c>
      <c r="F212" s="74" t="n">
        <v>4</v>
      </c>
      <c r="G212" s="74" t="n">
        <v>0</v>
      </c>
      <c r="H212" s="74" t="n">
        <f aca="false">C212*E212+D212*F212-E212^2</f>
        <v>464</v>
      </c>
      <c r="I212" s="74" t="n">
        <f aca="false">H212*DB_Settings!$G$5</f>
        <v>3.6424</v>
      </c>
      <c r="J212" s="74" t="n">
        <f aca="false">(E212*C212^3/12+E212*C212*(C212/2-((E212*C212*(C212/2)+D212*F212*(F212/2)-E212^2*(F212/2))/(E212*C212+D212*F212-E212^2)))^2)+(D212*F212^3/12+D212*F212*(F212/2-((E212*C212*(C212/2)+D212*F212*(F212/2)-E212^2*(F212/2))/(E212*C212+D212*F212-E212^2)))^2)-(E212^4/12+E212^2*(F212/2-((E212*C212*(C212/2)+D212*F212*(F212/2)-E212^2*(F212/2))/(E212*C212+D212*F212-E212^2)))^2)</f>
        <v>163134.528735632</v>
      </c>
      <c r="K212" s="74" t="n">
        <f aca="false">J212/MAX(((E212*C212*(C212/2)+D212*F212*(F212/2)-E212^2*(F212/2))/(E212*C212+D212*F212-E212^2)),C212-((E212*C212*(C212/2)+D212*F212*(F212/2)-E212^2*(F212/2))/(E212*C212+D212*F212-E212^2)))</f>
        <v>3748.73322768093</v>
      </c>
      <c r="L212" s="74" t="n">
        <f aca="false">E212*(C212-F212)</f>
        <v>224</v>
      </c>
      <c r="M212" s="78" t="s">
        <v>638</v>
      </c>
      <c r="N212" s="78"/>
      <c r="O212" s="1" t="n">
        <f aca="false">(2*F212*D212^3+(C212-2*F212)*E212^3)/12</f>
        <v>144277.333333333</v>
      </c>
      <c r="P212" s="1" t="n">
        <f aca="false">IFERROR(SQRT(J212/H212),"")</f>
        <v>18.7505476204876</v>
      </c>
      <c r="Q212" s="1" t="n">
        <f aca="false">IFERROR(SQRT(O212/H212),"")</f>
        <v>17.6335625650528</v>
      </c>
    </row>
    <row r="213" customFormat="false" ht="32.25" hidden="false" customHeight="true" outlineLevel="0" collapsed="false">
      <c r="A213" s="74" t="s">
        <v>648</v>
      </c>
      <c r="B213" s="74" t="s">
        <v>429</v>
      </c>
      <c r="C213" s="74" t="n">
        <v>60</v>
      </c>
      <c r="D213" s="74" t="n">
        <v>60</v>
      </c>
      <c r="E213" s="74" t="n">
        <v>5</v>
      </c>
      <c r="F213" s="74" t="n">
        <v>5</v>
      </c>
      <c r="G213" s="74" t="n">
        <v>0</v>
      </c>
      <c r="H213" s="74" t="n">
        <f aca="false">C213*E213+D213*F213-E213^2</f>
        <v>575</v>
      </c>
      <c r="I213" s="74" t="n">
        <f aca="false">H213*DB_Settings!$G$5</f>
        <v>4.51375</v>
      </c>
      <c r="J213" s="74" t="n">
        <f aca="false">(E213*C213^3/12+E213*C213*(C213/2-((E213*C213*(C213/2)+D213*F213*(F213/2)-E213^2*(F213/2))/(E213*C213+D213*F213-E213^2)))^2)+(D213*F213^3/12+D213*F213*(F213/2-((E213*C213*(C213/2)+D213*F213*(F213/2)-E213^2*(F213/2))/(E213*C213+D213*F213-E213^2)))^2)-(E213^4/12+E213^2*(F213/2-((E213*C213*(C213/2)+D213*F213*(F213/2)-E213^2*(F213/2))/(E213*C213+D213*F213-E213^2)))^2)</f>
        <v>199078.351449275</v>
      </c>
      <c r="K213" s="74" t="n">
        <f aca="false">J213/MAX(((E213*C213*(C213/2)+D213*F213*(F213/2)-E213^2*(F213/2))/(E213*C213+D213*F213-E213^2)),C213-((E213*C213*(C213/2)+D213*F213*(F213/2)-E213^2*(F213/2))/(E213*C213+D213*F213-E213^2)))</f>
        <v>4613.40260285474</v>
      </c>
      <c r="L213" s="74" t="n">
        <f aca="false">E213*(C213-F213)</f>
        <v>275</v>
      </c>
      <c r="M213" s="78" t="s">
        <v>638</v>
      </c>
      <c r="N213" s="78"/>
      <c r="O213" s="1" t="n">
        <f aca="false">(2*F213*D213^3+(C213-2*F213)*E213^3)/12</f>
        <v>180520.833333333</v>
      </c>
      <c r="P213" s="1" t="n">
        <f aca="false">IFERROR(SQRT(J213/H213),"")</f>
        <v>18.6070744587048</v>
      </c>
      <c r="Q213" s="1" t="n">
        <f aca="false">IFERROR(SQRT(O213/H213),"")</f>
        <v>17.7186138104062</v>
      </c>
    </row>
    <row r="214" customFormat="false" ht="32.25" hidden="false" customHeight="true" outlineLevel="0" collapsed="false">
      <c r="A214" s="74" t="s">
        <v>649</v>
      </c>
      <c r="B214" s="74" t="s">
        <v>429</v>
      </c>
      <c r="C214" s="74" t="n">
        <v>65</v>
      </c>
      <c r="D214" s="74" t="n">
        <v>65</v>
      </c>
      <c r="E214" s="74" t="n">
        <v>5</v>
      </c>
      <c r="F214" s="74" t="n">
        <v>5</v>
      </c>
      <c r="G214" s="74" t="n">
        <v>0</v>
      </c>
      <c r="H214" s="74" t="n">
        <f aca="false">C214*E214+D214*F214-E214^2</f>
        <v>625</v>
      </c>
      <c r="I214" s="74" t="n">
        <f aca="false">H214*DB_Settings!$G$5</f>
        <v>4.90625</v>
      </c>
      <c r="J214" s="74" t="n">
        <f aca="false">(E214*C214^3/12+E214*C214*(C214/2-((E214*C214*(C214/2)+D214*F214*(F214/2)-E214^2*(F214/2))/(E214*C214+D214*F214-E214^2)))^2)+(D214*F214^3/12+D214*F214*(F214/2-((E214*C214*(C214/2)+D214*F214*(F214/2)-E214^2*(F214/2))/(E214*C214+D214*F214-E214^2)))^2)-(E214^4/12+E214^2*(F214/2-((E214*C214*(C214/2)+D214*F214*(F214/2)-E214^2*(F214/2))/(E214*C214+D214*F214-E214^2)))^2)</f>
        <v>255452.083333333</v>
      </c>
      <c r="K214" s="74" t="n">
        <f aca="false">J214/MAX(((E214*C214*(C214/2)+D214*F214*(F214/2)-E214^2*(F214/2))/(E214*C214+D214*F214-E214^2)),C214-((E214*C214*(C214/2)+D214*F214*(F214/2)-E214^2*(F214/2))/(E214*C214+D214*F214-E214^2)))</f>
        <v>5446.7395167022</v>
      </c>
      <c r="L214" s="74" t="n">
        <f aca="false">E214*(C214-F214)</f>
        <v>300</v>
      </c>
      <c r="M214" s="78" t="s">
        <v>638</v>
      </c>
      <c r="N214" s="78"/>
      <c r="O214" s="1" t="n">
        <f aca="false">(2*F214*D214^3+(C214-2*F214)*E214^3)/12</f>
        <v>229427.083333333</v>
      </c>
      <c r="P214" s="1" t="n">
        <f aca="false">IFERROR(SQRT(J214/H214),"")</f>
        <v>20.21690711591</v>
      </c>
      <c r="Q214" s="1" t="n">
        <f aca="false">IFERROR(SQRT(O214/H214),"")</f>
        <v>19.1594189195115</v>
      </c>
    </row>
    <row r="215" customFormat="false" ht="32.25" hidden="false" customHeight="true" outlineLevel="0" collapsed="false">
      <c r="A215" s="74" t="s">
        <v>650</v>
      </c>
      <c r="B215" s="74" t="s">
        <v>429</v>
      </c>
      <c r="C215" s="74" t="n">
        <v>65</v>
      </c>
      <c r="D215" s="74" t="n">
        <v>65</v>
      </c>
      <c r="E215" s="74" t="n">
        <v>6</v>
      </c>
      <c r="F215" s="74" t="n">
        <v>6</v>
      </c>
      <c r="G215" s="74" t="n">
        <v>0</v>
      </c>
      <c r="H215" s="74" t="n">
        <f aca="false">C215*E215+D215*F215-E215^2</f>
        <v>744</v>
      </c>
      <c r="I215" s="74" t="n">
        <f aca="false">H215*DB_Settings!$G$5</f>
        <v>5.8404</v>
      </c>
      <c r="J215" s="74" t="n">
        <f aca="false">(E215*C215^3/12+E215*C215*(C215/2-((E215*C215*(C215/2)+D215*F215*(F215/2)-E215^2*(F215/2))/(E215*C215+D215*F215-E215^2)))^2)+(D215*F215^3/12+D215*F215*(F215/2-((E215*C215*(C215/2)+D215*F215*(F215/2)-E215^2*(F215/2))/(E215*C215+D215*F215-E215^2)))^2)-(E215^4/12+E215^2*(F215/2-((E215*C215*(C215/2)+D215*F215*(F215/2)-E215^2*(F215/2))/(E215*C215+D215*F215-E215^2)))^2)</f>
        <v>299862.02016129</v>
      </c>
      <c r="K215" s="74" t="n">
        <f aca="false">J215/MAX(((E215*C215*(C215/2)+D215*F215*(F215/2)-E215^2*(F215/2))/(E215*C215+D215*F215-E215^2)),C215-((E215*C215*(C215/2)+D215*F215*(F215/2)-E215^2*(F215/2))/(E215*C215+D215*F215-E215^2)))</f>
        <v>6443.61675764665</v>
      </c>
      <c r="L215" s="74" t="n">
        <f aca="false">E215*(C215-F215)</f>
        <v>354</v>
      </c>
      <c r="M215" s="78" t="s">
        <v>638</v>
      </c>
      <c r="N215" s="78"/>
      <c r="O215" s="1" t="n">
        <f aca="false">(2*F215*D215^3+(C215-2*F215)*E215^3)/12</f>
        <v>275579</v>
      </c>
      <c r="P215" s="1" t="n">
        <f aca="false">IFERROR(SQRT(J215/H215),"")</f>
        <v>20.075864855073</v>
      </c>
      <c r="Q215" s="1" t="n">
        <f aca="false">IFERROR(SQRT(O215/H215),"")</f>
        <v>19.2458276444644</v>
      </c>
    </row>
    <row r="216" customFormat="false" ht="32.25" hidden="false" customHeight="true" outlineLevel="0" collapsed="false">
      <c r="A216" s="74" t="s">
        <v>651</v>
      </c>
      <c r="B216" s="74" t="s">
        <v>429</v>
      </c>
      <c r="C216" s="74" t="n">
        <v>65</v>
      </c>
      <c r="D216" s="74" t="n">
        <v>65</v>
      </c>
      <c r="E216" s="74" t="n">
        <v>8</v>
      </c>
      <c r="F216" s="74" t="n">
        <v>8</v>
      </c>
      <c r="G216" s="74" t="n">
        <v>0</v>
      </c>
      <c r="H216" s="74" t="n">
        <f aca="false">C216*E216+D216*F216-E216^2</f>
        <v>976</v>
      </c>
      <c r="I216" s="74" t="n">
        <f aca="false">H216*DB_Settings!$G$5</f>
        <v>7.6616</v>
      </c>
      <c r="J216" s="74" t="n">
        <f aca="false">(E216*C216^3/12+E216*C216*(C216/2-((E216*C216*(C216/2)+D216*F216*(F216/2)-E216^2*(F216/2))/(E216*C216+D216*F216-E216^2)))^2)+(D216*F216^3/12+D216*F216*(F216/2-((E216*C216*(C216/2)+D216*F216*(F216/2)-E216^2*(F216/2))/(E216*C216+D216*F216-E216^2)))^2)-(E216^4/12+E216^2*(F216/2-((E216*C216*(C216/2)+D216*F216*(F216/2)-E216^2*(F216/2))/(E216*C216+D216*F216-E216^2)))^2)</f>
        <v>382852.136612022</v>
      </c>
      <c r="K216" s="74" t="n">
        <f aca="false">J216/MAX(((E216*C216*(C216/2)+D216*F216*(F216/2)-E216^2*(F216/2))/(E216*C216+D216*F216-E216^2)),C216-((E216*C216*(C216/2)+D216*F216*(F216/2)-E216^2*(F216/2))/(E216*C216+D216*F216-E216^2)))</f>
        <v>8356.37546590333</v>
      </c>
      <c r="L216" s="74" t="n">
        <f aca="false">E216*(C216-F216)</f>
        <v>456</v>
      </c>
      <c r="M216" s="78" t="s">
        <v>638</v>
      </c>
      <c r="N216" s="78"/>
      <c r="O216" s="1" t="n">
        <f aca="false">(2*F216*D216^3+(C216-2*F216)*E216^3)/12</f>
        <v>368257.333333333</v>
      </c>
      <c r="P216" s="1" t="n">
        <f aca="false">IFERROR(SQRT(J216/H216),"")</f>
        <v>19.8057197146167</v>
      </c>
      <c r="Q216" s="1" t="n">
        <f aca="false">IFERROR(SQRT(O216/H216),"")</f>
        <v>19.4245422476324</v>
      </c>
    </row>
    <row r="217" customFormat="false" ht="32.25" hidden="false" customHeight="true" outlineLevel="0" collapsed="false">
      <c r="A217" s="74" t="s">
        <v>652</v>
      </c>
      <c r="B217" s="74" t="s">
        <v>429</v>
      </c>
      <c r="C217" s="74" t="n">
        <v>70</v>
      </c>
      <c r="D217" s="74" t="n">
        <v>70</v>
      </c>
      <c r="E217" s="74" t="n">
        <v>6</v>
      </c>
      <c r="F217" s="74" t="n">
        <v>6</v>
      </c>
      <c r="G217" s="74" t="n">
        <v>0</v>
      </c>
      <c r="H217" s="74" t="n">
        <f aca="false">C217*E217+D217*F217-E217^2</f>
        <v>804</v>
      </c>
      <c r="I217" s="74" t="n">
        <f aca="false">H217*DB_Settings!$G$5</f>
        <v>6.3114</v>
      </c>
      <c r="J217" s="74" t="n">
        <f aca="false">(E217*C217^3/12+E217*C217*(C217/2-((E217*C217*(C217/2)+D217*F217*(F217/2)-E217^2*(F217/2))/(E217*C217+D217*F217-E217^2)))^2)+(D217*F217^3/12+D217*F217*(F217/2-((E217*C217*(C217/2)+D217*F217*(F217/2)-E217^2*(F217/2))/(E217*C217+D217*F217-E217^2)))^2)-(E217^4/12+E217^2*(F217/2-((E217*C217*(C217/2)+D217*F217*(F217/2)-E217^2*(F217/2))/(E217*C217+D217*F217-E217^2)))^2)</f>
        <v>378063.343283582</v>
      </c>
      <c r="K217" s="74" t="n">
        <f aca="false">J217/MAX(((E217*C217*(C217/2)+D217*F217*(F217/2)-E217^2*(F217/2))/(E217*C217+D217*F217-E217^2)),C217-((E217*C217*(C217/2)+D217*F217*(F217/2)-E217^2*(F217/2))/(E217*C217+D217*F217-E217^2)))</f>
        <v>7518.62392401306</v>
      </c>
      <c r="L217" s="74" t="n">
        <f aca="false">E217*(C217-F217)</f>
        <v>384</v>
      </c>
      <c r="M217" s="78" t="s">
        <v>638</v>
      </c>
      <c r="N217" s="78"/>
      <c r="O217" s="1" t="n">
        <f aca="false">(2*F217*D217^3+(C217-2*F217)*E217^3)/12</f>
        <v>344044</v>
      </c>
      <c r="P217" s="1" t="n">
        <f aca="false">IFERROR(SQRT(J217/H217),"")</f>
        <v>21.6847420761679</v>
      </c>
      <c r="Q217" s="1" t="n">
        <f aca="false">IFERROR(SQRT(O217/H217),"")</f>
        <v>20.6861166700174</v>
      </c>
    </row>
    <row r="218" customFormat="false" ht="32.25" hidden="false" customHeight="true" outlineLevel="0" collapsed="false">
      <c r="A218" s="74" t="s">
        <v>653</v>
      </c>
      <c r="B218" s="74" t="s">
        <v>429</v>
      </c>
      <c r="C218" s="74" t="n">
        <v>75</v>
      </c>
      <c r="D218" s="74" t="n">
        <v>75</v>
      </c>
      <c r="E218" s="74" t="n">
        <v>6</v>
      </c>
      <c r="F218" s="74" t="n">
        <v>6</v>
      </c>
      <c r="G218" s="74" t="n">
        <v>0</v>
      </c>
      <c r="H218" s="74" t="n">
        <f aca="false">C218*E218+D218*F218-E218^2</f>
        <v>864</v>
      </c>
      <c r="I218" s="74" t="n">
        <f aca="false">H218*DB_Settings!$G$5</f>
        <v>6.7824</v>
      </c>
      <c r="J218" s="74" t="n">
        <f aca="false">(E218*C218^3/12+E218*C218*(C218/2-((E218*C218*(C218/2)+D218*F218*(F218/2)-E218^2*(F218/2))/(E218*C218+D218*F218-E218^2)))^2)+(D218*F218^3/12+D218*F218*(F218/2-((E218*C218*(C218/2)+D218*F218*(F218/2)-E218^2*(F218/2))/(E218*C218+D218*F218-E218^2)))^2)-(E218^4/12+E218^2*(F218/2-((E218*C218*(C218/2)+D218*F218*(F218/2)-E218^2*(F218/2))/(E218*C218+D218*F218-E218^2)))^2)</f>
        <v>468827.15625</v>
      </c>
      <c r="K218" s="74" t="n">
        <f aca="false">J218/MAX(((E218*C218*(C218/2)+D218*F218*(F218/2)-E218^2*(F218/2))/(E218*C218+D218*F218-E218^2)),C218-((E218*C218*(C218/2)+D218*F218*(F218/2)-E218^2*(F218/2))/(E218*C218+D218*F218-E218^2)))</f>
        <v>8676.96298438404</v>
      </c>
      <c r="L218" s="74" t="n">
        <f aca="false">E218*(C218-F218)</f>
        <v>414</v>
      </c>
      <c r="M218" s="78" t="s">
        <v>638</v>
      </c>
      <c r="N218" s="78"/>
      <c r="O218" s="1" t="n">
        <f aca="false">(2*F218*D218^3+(C218-2*F218)*E218^3)/12</f>
        <v>423009</v>
      </c>
      <c r="P218" s="1" t="n">
        <f aca="false">IFERROR(SQRT(J218/H218),"")</f>
        <v>23.2942916491895</v>
      </c>
      <c r="Q218" s="1" t="n">
        <f aca="false">IFERROR(SQRT(O218/H218),"")</f>
        <v>22.1267654662854</v>
      </c>
    </row>
    <row r="219" customFormat="false" ht="32.25" hidden="false" customHeight="true" outlineLevel="0" collapsed="false">
      <c r="A219" s="74" t="s">
        <v>654</v>
      </c>
      <c r="B219" s="74" t="s">
        <v>429</v>
      </c>
      <c r="C219" s="74" t="n">
        <v>75</v>
      </c>
      <c r="D219" s="74" t="n">
        <v>75</v>
      </c>
      <c r="E219" s="74" t="n">
        <v>9</v>
      </c>
      <c r="F219" s="74" t="n">
        <v>9</v>
      </c>
      <c r="G219" s="74" t="n">
        <v>0</v>
      </c>
      <c r="H219" s="74" t="n">
        <f aca="false">C219*E219+D219*F219-E219^2</f>
        <v>1269</v>
      </c>
      <c r="I219" s="74" t="n">
        <f aca="false">H219*DB_Settings!$G$5</f>
        <v>9.96165</v>
      </c>
      <c r="J219" s="74" t="n">
        <f aca="false">(E219*C219^3/12+E219*C219*(C219/2-((E219*C219*(C219/2)+D219*F219*(F219/2)-E219^2*(F219/2))/(E219*C219+D219*F219-E219^2)))^2)+(D219*F219^3/12+D219*F219*(F219/2-((E219*C219*(C219/2)+D219*F219*(F219/2)-E219^2*(F219/2))/(E219*C219+D219*F219-E219^2)))^2)-(E219^4/12+E219^2*(F219/2-((E219*C219*(C219/2)+D219*F219*(F219/2)-E219^2*(F219/2))/(E219*C219+D219*F219-E219^2)))^2)</f>
        <v>664493.409574468</v>
      </c>
      <c r="K219" s="74" t="n">
        <f aca="false">J219/MAX(((E219*C219*(C219/2)+D219*F219*(F219/2)-E219^2*(F219/2))/(E219*C219+D219*F219-E219^2)),C219-((E219*C219*(C219/2)+D219*F219*(F219/2)-E219^2*(F219/2))/(E219*C219+D219*F219-E219^2)))</f>
        <v>12550.2070524412</v>
      </c>
      <c r="L219" s="74" t="n">
        <f aca="false">E219*(C219-F219)</f>
        <v>594</v>
      </c>
      <c r="M219" s="78" t="s">
        <v>638</v>
      </c>
      <c r="N219" s="78"/>
      <c r="O219" s="1" t="n">
        <f aca="false">(2*F219*D219^3+(C219-2*F219)*E219^3)/12</f>
        <v>636275.25</v>
      </c>
      <c r="P219" s="1" t="n">
        <f aca="false">IFERROR(SQRT(J219/H219),"")</f>
        <v>22.8830825838172</v>
      </c>
      <c r="Q219" s="1" t="n">
        <f aca="false">IFERROR(SQRT(O219/H219),"")</f>
        <v>22.3919390891055</v>
      </c>
    </row>
    <row r="220" customFormat="false" ht="32.25" hidden="false" customHeight="true" outlineLevel="0" collapsed="false">
      <c r="A220" s="74" t="s">
        <v>655</v>
      </c>
      <c r="B220" s="74" t="s">
        <v>429</v>
      </c>
      <c r="C220" s="74" t="n">
        <v>75</v>
      </c>
      <c r="D220" s="74" t="n">
        <v>75</v>
      </c>
      <c r="E220" s="74" t="n">
        <v>12</v>
      </c>
      <c r="F220" s="74" t="n">
        <v>12</v>
      </c>
      <c r="G220" s="74" t="n">
        <v>0</v>
      </c>
      <c r="H220" s="74" t="n">
        <f aca="false">C220*E220+D220*F220-E220^2</f>
        <v>1656</v>
      </c>
      <c r="I220" s="74" t="n">
        <f aca="false">H220*DB_Settings!$G$5</f>
        <v>12.9996</v>
      </c>
      <c r="J220" s="74" t="n">
        <f aca="false">(E220*C220^3/12+E220*C220*(C220/2-((E220*C220*(C220/2)+D220*F220*(F220/2)-E220^2*(F220/2))/(E220*C220+D220*F220-E220^2)))^2)+(D220*F220^3/12+D220*F220*(F220/2-((E220*C220*(C220/2)+D220*F220*(F220/2)-E220^2*(F220/2))/(E220*C220+D220*F220-E220^2)))^2)-(E220^4/12+E220^2*(F220/2-((E220*C220*(C220/2)+D220*F220*(F220/2)-E220^2*(F220/2))/(E220*C220+D220*F220-E220^2)))^2)</f>
        <v>838632.326086957</v>
      </c>
      <c r="K220" s="74" t="n">
        <f aca="false">J220/MAX(((E220*C220*(C220/2)+D220*F220*(F220/2)-E220^2*(F220/2))/(E220*C220+D220*F220-E220^2)),C220-((E220*C220*(C220/2)+D220*F220*(F220/2)-E220^2*(F220/2))/(E220*C220+D220*F220-E220^2)))</f>
        <v>16164.7127592709</v>
      </c>
      <c r="L220" s="74" t="n">
        <f aca="false">E220*(C220-F220)</f>
        <v>756</v>
      </c>
      <c r="M220" s="78" t="s">
        <v>638</v>
      </c>
      <c r="N220" s="78"/>
      <c r="O220" s="1" t="n">
        <f aca="false">(2*F220*D220^3+(C220-2*F220)*E220^3)/12</f>
        <v>851094</v>
      </c>
      <c r="P220" s="1" t="n">
        <f aca="false">IFERROR(SQRT(J220/H220),"")</f>
        <v>22.5037882759211</v>
      </c>
      <c r="Q220" s="1" t="n">
        <f aca="false">IFERROR(SQRT(O220/H220),"")</f>
        <v>22.6703694759021</v>
      </c>
    </row>
    <row r="221" customFormat="false" ht="32.25" hidden="false" customHeight="true" outlineLevel="0" collapsed="false">
      <c r="A221" s="74" t="s">
        <v>656</v>
      </c>
      <c r="B221" s="74" t="s">
        <v>429</v>
      </c>
      <c r="C221" s="74" t="n">
        <v>80</v>
      </c>
      <c r="D221" s="74" t="n">
        <v>80</v>
      </c>
      <c r="E221" s="74" t="n">
        <v>6</v>
      </c>
      <c r="F221" s="74" t="n">
        <v>6</v>
      </c>
      <c r="G221" s="74" t="n">
        <v>0</v>
      </c>
      <c r="H221" s="74" t="n">
        <f aca="false">C221*E221+D221*F221-E221^2</f>
        <v>924</v>
      </c>
      <c r="I221" s="74" t="n">
        <f aca="false">H221*DB_Settings!$G$5</f>
        <v>7.2534</v>
      </c>
      <c r="J221" s="74" t="n">
        <f aca="false">(E221*C221^3/12+E221*C221*(C221/2-((E221*C221*(C221/2)+D221*F221*(F221/2)-E221^2*(F221/2))/(E221*C221+D221*F221-E221^2)))^2)+(D221*F221^3/12+D221*F221*(F221/2-((E221*C221*(C221/2)+D221*F221*(F221/2)-E221^2*(F221/2))/(E221*C221+D221*F221-E221^2)))^2)-(E221^4/12+E221^2*(F221/2-((E221*C221*(C221/2)+D221*F221*(F221/2)-E221^2*(F221/2))/(E221*C221+D221*F221-E221^2)))^2)</f>
        <v>573090.961038961</v>
      </c>
      <c r="K221" s="74" t="n">
        <f aca="false">J221/MAX(((E221*C221*(C221/2)+D221*F221*(F221/2)-E221^2*(F221/2))/(E221*C221+D221*F221-E221^2)),C221-((E221*C221*(C221/2)+D221*F221*(F221/2)-E221^2*(F221/2))/(E221*C221+D221*F221-E221^2)))</f>
        <v>9918.63429984266</v>
      </c>
      <c r="L221" s="74" t="n">
        <f aca="false">E221*(C221-F221)</f>
        <v>444</v>
      </c>
      <c r="M221" s="78" t="s">
        <v>638</v>
      </c>
      <c r="N221" s="78"/>
      <c r="O221" s="1" t="n">
        <f aca="false">(2*F221*D221^3+(C221-2*F221)*E221^3)/12</f>
        <v>513224</v>
      </c>
      <c r="P221" s="1" t="n">
        <f aca="false">IFERROR(SQRT(J221/H221),"")</f>
        <v>24.904383405592</v>
      </c>
      <c r="Q221" s="1" t="n">
        <f aca="false">IFERROR(SQRT(O221/H221),"")</f>
        <v>23.5677158298642</v>
      </c>
    </row>
    <row r="222" customFormat="false" ht="32.25" hidden="false" customHeight="true" outlineLevel="0" collapsed="false">
      <c r="A222" s="74" t="s">
        <v>657</v>
      </c>
      <c r="B222" s="74" t="s">
        <v>429</v>
      </c>
      <c r="C222" s="74" t="n">
        <v>90</v>
      </c>
      <c r="D222" s="74" t="n">
        <v>90</v>
      </c>
      <c r="E222" s="74" t="n">
        <v>6</v>
      </c>
      <c r="F222" s="74" t="n">
        <v>6</v>
      </c>
      <c r="G222" s="74" t="n">
        <v>0</v>
      </c>
      <c r="H222" s="74" t="n">
        <f aca="false">C222*E222+D222*F222-E222^2</f>
        <v>1044</v>
      </c>
      <c r="I222" s="74" t="n">
        <f aca="false">H222*DB_Settings!$G$5</f>
        <v>8.1954</v>
      </c>
      <c r="J222" s="74" t="n">
        <f aca="false">(E222*C222^3/12+E222*C222*(C222/2-((E222*C222*(C222/2)+D222*F222*(F222/2)-E222^2*(F222/2))/(E222*C222+D222*F222-E222^2)))^2)+(D222*F222^3/12+D222*F222*(F222/2-((E222*C222*(C222/2)+D222*F222*(F222/2)-E222^2*(F222/2))/(E222*C222+D222*F222-E222^2)))^2)-(E222^4/12+E222^2*(F222/2-((E222*C222*(C222/2)+D222*F222*(F222/2)-E222^2*(F222/2))/(E222*C222+D222*F222-E222^2)))^2)</f>
        <v>825868.551724138</v>
      </c>
      <c r="K222" s="74" t="n">
        <f aca="false">J222/MAX(((E222*C222*(C222/2)+D222*F222*(F222/2)-E222^2*(F222/2))/(E222*C222+D222*F222-E222^2)),C222-((E222*C222*(C222/2)+D222*F222*(F222/2)-E222^2*(F222/2))/(E222*C222+D222*F222-E222^2)))</f>
        <v>12651.9746434231</v>
      </c>
      <c r="L222" s="74" t="n">
        <f aca="false">E222*(C222-F222)</f>
        <v>504</v>
      </c>
      <c r="M222" s="78" t="s">
        <v>638</v>
      </c>
      <c r="N222" s="78"/>
      <c r="O222" s="1" t="n">
        <f aca="false">(2*F222*D222^3+(C222-2*F222)*E222^3)/12</f>
        <v>730404</v>
      </c>
      <c r="P222" s="1" t="n">
        <f aca="false">IFERROR(SQRT(J222/H222),"")</f>
        <v>28.1258214307314</v>
      </c>
      <c r="Q222" s="1" t="n">
        <f aca="false">IFERROR(SQRT(O222/H222),"")</f>
        <v>26.4503438475792</v>
      </c>
    </row>
    <row r="223" customFormat="false" ht="32.25" hidden="false" customHeight="true" outlineLevel="0" collapsed="false">
      <c r="A223" s="74" t="s">
        <v>658</v>
      </c>
      <c r="B223" s="74" t="s">
        <v>429</v>
      </c>
      <c r="C223" s="74" t="n">
        <v>90</v>
      </c>
      <c r="D223" s="74" t="n">
        <v>90</v>
      </c>
      <c r="E223" s="74" t="n">
        <v>7</v>
      </c>
      <c r="F223" s="74" t="n">
        <v>7</v>
      </c>
      <c r="G223" s="74" t="n">
        <v>0</v>
      </c>
      <c r="H223" s="74" t="n">
        <f aca="false">C223*E223+D223*F223-E223^2</f>
        <v>1211</v>
      </c>
      <c r="I223" s="74" t="n">
        <f aca="false">H223*DB_Settings!$G$5</f>
        <v>9.50635</v>
      </c>
      <c r="J223" s="74" t="n">
        <f aca="false">(E223*C223^3/12+E223*C223*(C223/2-((E223*C223*(C223/2)+D223*F223*(F223/2)-E223^2*(F223/2))/(E223*C223+D223*F223-E223^2)))^2)+(D223*F223^3/12+D223*F223*(F223/2-((E223*C223*(C223/2)+D223*F223*(F223/2)-E223^2*(F223/2))/(E223*C223+D223*F223-E223^2)))^2)-(E223^4/12+E223^2*(F223/2-((E223*C223*(C223/2)+D223*F223*(F223/2)-E223^2*(F223/2))/(E223*C223+D223*F223-E223^2)))^2)</f>
        <v>948179.945568401</v>
      </c>
      <c r="K223" s="74" t="n">
        <f aca="false">J223/MAX(((E223*C223*(C223/2)+D223*F223*(F223/2)-E223^2*(F223/2))/(E223*C223+D223*F223-E223^2)),C223-((E223*C223*(C223/2)+D223*F223*(F223/2)-E223^2*(F223/2))/(E223*C223+D223*F223-E223^2)))</f>
        <v>14607.5186413761</v>
      </c>
      <c r="L223" s="74" t="n">
        <f aca="false">E223*(C223-F223)</f>
        <v>581</v>
      </c>
      <c r="M223" s="78" t="s">
        <v>638</v>
      </c>
      <c r="N223" s="78"/>
      <c r="O223" s="1" t="n">
        <f aca="false">(2*F223*D223^3+(C223-2*F223)*E223^3)/12</f>
        <v>852672.333333333</v>
      </c>
      <c r="P223" s="1" t="n">
        <f aca="false">IFERROR(SQRT(J223/H223),"")</f>
        <v>27.9816494304019</v>
      </c>
      <c r="Q223" s="1" t="n">
        <f aca="false">IFERROR(SQRT(O223/H223),"")</f>
        <v>26.5349952520261</v>
      </c>
    </row>
    <row r="224" customFormat="false" ht="32.25" hidden="false" customHeight="true" outlineLevel="0" collapsed="false">
      <c r="A224" s="74" t="s">
        <v>659</v>
      </c>
      <c r="B224" s="74" t="s">
        <v>429</v>
      </c>
      <c r="C224" s="74" t="n">
        <v>90</v>
      </c>
      <c r="D224" s="74" t="n">
        <v>90</v>
      </c>
      <c r="E224" s="74" t="n">
        <v>10</v>
      </c>
      <c r="F224" s="74" t="n">
        <v>10</v>
      </c>
      <c r="G224" s="74" t="n">
        <v>0</v>
      </c>
      <c r="H224" s="74" t="n">
        <f aca="false">C224*E224+D224*F224-E224^2</f>
        <v>1700</v>
      </c>
      <c r="I224" s="74" t="n">
        <f aca="false">H224*DB_Settings!$G$5</f>
        <v>13.345</v>
      </c>
      <c r="J224" s="74" t="n">
        <f aca="false">(E224*C224^3/12+E224*C224*(C224/2-((E224*C224*(C224/2)+D224*F224*(F224/2)-E224^2*(F224/2))/(E224*C224+D224*F224-E224^2)))^2)+(D224*F224^3/12+D224*F224*(F224/2-((E224*C224*(C224/2)+D224*F224*(F224/2)-E224^2*(F224/2))/(E224*C224+D224*F224-E224^2)))^2)-(E224^4/12+E224^2*(F224/2-((E224*C224*(C224/2)+D224*F224*(F224/2)-E224^2*(F224/2))/(E224*C224+D224*F224-E224^2)))^2)</f>
        <v>1291813.7254902</v>
      </c>
      <c r="K224" s="74" t="n">
        <f aca="false">J224/MAX(((E224*C224*(C224/2)+D224*F224*(F224/2)-E224^2*(F224/2))/(E224*C224+D224*F224-E224^2)),C224-((E224*C224*(C224/2)+D224*F224*(F224/2)-E224^2*(F224/2))/(E224*C224+D224*F224-E224^2)))</f>
        <v>20240.3993855607</v>
      </c>
      <c r="L224" s="74" t="n">
        <f aca="false">E224*(C224-F224)</f>
        <v>800</v>
      </c>
      <c r="M224" s="78" t="s">
        <v>638</v>
      </c>
      <c r="N224" s="78"/>
      <c r="O224" s="1" t="n">
        <f aca="false">(2*F224*D224^3+(C224-2*F224)*E224^3)/12</f>
        <v>1220833.33333333</v>
      </c>
      <c r="P224" s="1" t="n">
        <f aca="false">IFERROR(SQRT(J224/H224),"")</f>
        <v>27.5661101129437</v>
      </c>
      <c r="Q224" s="1" t="n">
        <f aca="false">IFERROR(SQRT(O224/H224),"")</f>
        <v>26.7980830452844</v>
      </c>
    </row>
    <row r="225" customFormat="false" ht="32.25" hidden="false" customHeight="true" outlineLevel="0" collapsed="false">
      <c r="A225" s="74" t="s">
        <v>660</v>
      </c>
      <c r="B225" s="74" t="s">
        <v>429</v>
      </c>
      <c r="C225" s="74" t="n">
        <v>90</v>
      </c>
      <c r="D225" s="74" t="n">
        <v>90</v>
      </c>
      <c r="E225" s="74" t="n">
        <v>13</v>
      </c>
      <c r="F225" s="74" t="n">
        <v>13</v>
      </c>
      <c r="G225" s="74" t="n">
        <v>0</v>
      </c>
      <c r="H225" s="74" t="n">
        <f aca="false">C225*E225+D225*F225-E225^2</f>
        <v>2171</v>
      </c>
      <c r="I225" s="74" t="n">
        <f aca="false">H225*DB_Settings!$G$5</f>
        <v>17.04235</v>
      </c>
      <c r="J225" s="74" t="n">
        <f aca="false">(E225*C225^3/12+E225*C225*(C225/2-((E225*C225*(C225/2)+D225*F225*(F225/2)-E225^2*(F225/2))/(E225*C225+D225*F225-E225^2)))^2)+(D225*F225^3/12+D225*F225*(F225/2-((E225*C225*(C225/2)+D225*F225*(F225/2)-E225^2*(F225/2))/(E225*C225+D225*F225-E225^2)))^2)-(E225^4/12+E225^2*(F225/2-((E225*C225*(C225/2)+D225*F225*(F225/2)-E225^2*(F225/2))/(E225*C225+D225*F225-E225^2)))^2)</f>
        <v>1603463.5993014</v>
      </c>
      <c r="K225" s="74" t="n">
        <f aca="false">J225/MAX(((E225*C225*(C225/2)+D225*F225*(F225/2)-E225^2*(F225/2))/(E225*C225+D225*F225-E225^2)),C225-((E225*C225*(C225/2)+D225*F225*(F225/2)-E225^2*(F225/2))/(E225*C225+D225*F225-E225^2)))</f>
        <v>25552.595169935</v>
      </c>
      <c r="L225" s="74" t="n">
        <f aca="false">E225*(C225-F225)</f>
        <v>1001</v>
      </c>
      <c r="M225" s="78" t="s">
        <v>638</v>
      </c>
      <c r="N225" s="78"/>
      <c r="O225" s="1" t="n">
        <f aca="false">(2*F225*D225^3+(C225-2*F225)*E225^3)/12</f>
        <v>1591217.33333333</v>
      </c>
      <c r="P225" s="1" t="n">
        <f aca="false">IFERROR(SQRT(J225/H225),"")</f>
        <v>27.1768827653359</v>
      </c>
      <c r="Q225" s="1" t="n">
        <f aca="false">IFERROR(SQRT(O225/H225),"")</f>
        <v>27.0729037188194</v>
      </c>
    </row>
    <row r="226" customFormat="false" ht="32.25" hidden="false" customHeight="true" outlineLevel="0" collapsed="false">
      <c r="A226" s="74" t="s">
        <v>661</v>
      </c>
      <c r="B226" s="74" t="s">
        <v>429</v>
      </c>
      <c r="C226" s="74" t="n">
        <v>100</v>
      </c>
      <c r="D226" s="74" t="n">
        <v>100</v>
      </c>
      <c r="E226" s="74" t="n">
        <v>7</v>
      </c>
      <c r="F226" s="74" t="n">
        <v>7</v>
      </c>
      <c r="G226" s="74" t="n">
        <v>0</v>
      </c>
      <c r="H226" s="74" t="n">
        <f aca="false">C226*E226+D226*F226-E226^2</f>
        <v>1351</v>
      </c>
      <c r="I226" s="74" t="n">
        <f aca="false">H226*DB_Settings!$G$5</f>
        <v>10.60535</v>
      </c>
      <c r="J226" s="74" t="n">
        <f aca="false">(E226*C226^3/12+E226*C226*(C226/2-((E226*C226*(C226/2)+D226*F226*(F226/2)-E226^2*(F226/2))/(E226*C226+D226*F226-E226^2)))^2)+(D226*F226^3/12+D226*F226*(F226/2-((E226*C226*(C226/2)+D226*F226*(F226/2)-E226^2*(F226/2))/(E226*C226+D226*F226-E226^2)))^2)-(E226^4/12+E226^2*(F226/2-((E226*C226*(C226/2)+D226*F226*(F226/2)-E226^2*(F226/2))/(E226*C226+D226*F226-E226^2)))^2)</f>
        <v>1315330.832038</v>
      </c>
      <c r="K226" s="74" t="n">
        <f aca="false">J226/MAX(((E226*C226*(C226/2)+D226*F226*(F226/2)-E226^2*(F226/2))/(E226*C226+D226*F226-E226^2)),C226-((E226*C226*(C226/2)+D226*F226*(F226/2)-E226^2*(F226/2))/(E226*C226+D226*F226-E226^2)))</f>
        <v>18165.8628633106</v>
      </c>
      <c r="L226" s="74" t="n">
        <f aca="false">E226*(C226-F226)</f>
        <v>651</v>
      </c>
      <c r="M226" s="78" t="s">
        <v>638</v>
      </c>
      <c r="N226" s="78"/>
      <c r="O226" s="1" t="n">
        <f aca="false">(2*F226*D226^3+(C226-2*F226)*E226^3)/12</f>
        <v>1169124.83333333</v>
      </c>
      <c r="P226" s="1" t="n">
        <f aca="false">IFERROR(SQRT(J226/H226),"")</f>
        <v>31.2025311661638</v>
      </c>
      <c r="Q226" s="1" t="n">
        <f aca="false">IFERROR(SQRT(O226/H226),"")</f>
        <v>29.417297203926</v>
      </c>
    </row>
    <row r="227" customFormat="false" ht="32.25" hidden="false" customHeight="true" outlineLevel="0" collapsed="false">
      <c r="A227" s="74" t="s">
        <v>662</v>
      </c>
      <c r="B227" s="74" t="s">
        <v>429</v>
      </c>
      <c r="C227" s="74" t="n">
        <v>100</v>
      </c>
      <c r="D227" s="74" t="n">
        <v>100</v>
      </c>
      <c r="E227" s="74" t="n">
        <v>10</v>
      </c>
      <c r="F227" s="74" t="n">
        <v>10</v>
      </c>
      <c r="G227" s="74" t="n">
        <v>0</v>
      </c>
      <c r="H227" s="74" t="n">
        <f aca="false">C227*E227+D227*F227-E227^2</f>
        <v>1900</v>
      </c>
      <c r="I227" s="74" t="n">
        <f aca="false">H227*DB_Settings!$G$5</f>
        <v>14.915</v>
      </c>
      <c r="J227" s="74" t="n">
        <f aca="false">(E227*C227^3/12+E227*C227*(C227/2-((E227*C227*(C227/2)+D227*F227*(F227/2)-E227^2*(F227/2))/(E227*C227+D227*F227-E227^2)))^2)+(D227*F227^3/12+D227*F227*(F227/2-((E227*C227*(C227/2)+D227*F227*(F227/2)-E227^2*(F227/2))/(E227*C227+D227*F227-E227^2)))^2)-(E227^4/12+E227^2*(F227/2-((E227*C227*(C227/2)+D227*F227*(F227/2)-E227^2*(F227/2))/(E227*C227+D227*F227-E227^2)))^2)</f>
        <v>1800043.85964912</v>
      </c>
      <c r="K227" s="74" t="n">
        <f aca="false">J227/MAX(((E227*C227*(C227/2)+D227*F227*(F227/2)-E227^2*(F227/2))/(E227*C227+D227*F227-E227^2)),C227-((E227*C227*(C227/2)+D227*F227*(F227/2)-E227^2*(F227/2))/(E227*C227+D227*F227-E227^2)))</f>
        <v>25240.4674046741</v>
      </c>
      <c r="L227" s="74" t="n">
        <f aca="false">E227*(C227-F227)</f>
        <v>900</v>
      </c>
      <c r="M227" s="78" t="s">
        <v>638</v>
      </c>
      <c r="N227" s="78"/>
      <c r="O227" s="1" t="n">
        <f aca="false">(2*F227*D227^3+(C227-2*F227)*E227^3)/12</f>
        <v>1673333.33333333</v>
      </c>
      <c r="P227" s="1" t="n">
        <f aca="false">IFERROR(SQRT(J227/H227),"")</f>
        <v>30.7797255523581</v>
      </c>
      <c r="Q227" s="1" t="n">
        <f aca="false">IFERROR(SQRT(O227/H227),"")</f>
        <v>29.6766196590172</v>
      </c>
    </row>
    <row r="228" customFormat="false" ht="32.25" hidden="false" customHeight="true" outlineLevel="0" collapsed="false">
      <c r="A228" s="74" t="s">
        <v>663</v>
      </c>
      <c r="B228" s="74" t="s">
        <v>429</v>
      </c>
      <c r="C228" s="74" t="n">
        <v>100</v>
      </c>
      <c r="D228" s="74" t="n">
        <v>100</v>
      </c>
      <c r="E228" s="74" t="n">
        <v>13</v>
      </c>
      <c r="F228" s="74" t="n">
        <v>13</v>
      </c>
      <c r="G228" s="74" t="n">
        <v>0</v>
      </c>
      <c r="H228" s="74" t="n">
        <f aca="false">C228*E228+D228*F228-E228^2</f>
        <v>2431</v>
      </c>
      <c r="I228" s="74" t="n">
        <f aca="false">H228*DB_Settings!$G$5</f>
        <v>19.08335</v>
      </c>
      <c r="J228" s="74" t="n">
        <f aca="false">(E228*C228^3/12+E228*C228*(C228/2-((E228*C228*(C228/2)+D228*F228*(F228/2)-E228^2*(F228/2))/(E228*C228+D228*F228-E228^2)))^2)+(D228*F228^3/12+D228*F228*(F228/2-((E228*C228*(C228/2)+D228*F228*(F228/2)-E228^2*(F228/2))/(E228*C228+D228*F228-E228^2)))^2)-(E228^4/12+E228^2*(F228/2-((E228*C228*(C228/2)+D228*F228*(F228/2)-E228^2*(F228/2))/(E228*C228+D228*F228-E228^2)))^2)</f>
        <v>2243718.66889483</v>
      </c>
      <c r="K228" s="74" t="n">
        <f aca="false">J228/MAX(((E228*C228*(C228/2)+D228*F228*(F228/2)-E228^2*(F228/2))/(E228*C228+D228*F228-E228^2)),C228-((E228*C228*(C228/2)+D228*F228*(F228/2)-E228^2*(F228/2))/(E228*C228+D228*F228-E228^2)))</f>
        <v>31944.527091502</v>
      </c>
      <c r="L228" s="74" t="n">
        <f aca="false">E228*(C228-F228)</f>
        <v>1131</v>
      </c>
      <c r="M228" s="78" t="s">
        <v>638</v>
      </c>
      <c r="N228" s="78"/>
      <c r="O228" s="1" t="n">
        <f aca="false">(2*F228*D228^3+(C228-2*F228)*E228^3)/12</f>
        <v>2180214.83333333</v>
      </c>
      <c r="P228" s="1" t="n">
        <f aca="false">IFERROR(SQRT(J228/H228),"")</f>
        <v>30.380276440211</v>
      </c>
      <c r="Q228" s="1" t="n">
        <f aca="false">IFERROR(SQRT(O228/H228),"")</f>
        <v>29.94726499911</v>
      </c>
    </row>
    <row r="229" customFormat="false" ht="32.25" hidden="false" customHeight="true" outlineLevel="0" collapsed="false">
      <c r="A229" s="74" t="s">
        <v>664</v>
      </c>
      <c r="B229" s="74" t="s">
        <v>429</v>
      </c>
      <c r="C229" s="74" t="n">
        <v>120</v>
      </c>
      <c r="D229" s="74" t="n">
        <v>120</v>
      </c>
      <c r="E229" s="74" t="n">
        <v>8</v>
      </c>
      <c r="F229" s="74" t="n">
        <v>8</v>
      </c>
      <c r="G229" s="74" t="n">
        <v>0</v>
      </c>
      <c r="H229" s="74" t="n">
        <f aca="false">C229*E229+D229*F229-E229^2</f>
        <v>1856</v>
      </c>
      <c r="I229" s="74" t="n">
        <f aca="false">H229*DB_Settings!$G$5</f>
        <v>14.5696</v>
      </c>
      <c r="J229" s="74" t="n">
        <f aca="false">(E229*C229^3/12+E229*C229*(C229/2-((E229*C229*(C229/2)+D229*F229*(F229/2)-E229^2*(F229/2))/(E229*C229+D229*F229-E229^2)))^2)+(D229*F229^3/12+D229*F229*(F229/2-((E229*C229*(C229/2)+D229*F229*(F229/2)-E229^2*(F229/2))/(E229*C229+D229*F229-E229^2)))^2)-(E229^4/12+E229^2*(F229/2-((E229*C229*(C229/2)+D229*F229*(F229/2)-E229^2*(F229/2))/(E229*C229+D229*F229-E229^2)))^2)</f>
        <v>2610152.45977012</v>
      </c>
      <c r="K229" s="74" t="n">
        <f aca="false">J229/MAX(((E229*C229*(C229/2)+D229*F229*(F229/2)-E229^2*(F229/2))/(E229*C229+D229*F229-E229^2)),C229-((E229*C229*(C229/2)+D229*F229*(F229/2)-E229^2*(F229/2))/(E229*C229+D229*F229-E229^2)))</f>
        <v>29989.8658214474</v>
      </c>
      <c r="L229" s="74" t="n">
        <f aca="false">E229*(C229-F229)</f>
        <v>896</v>
      </c>
      <c r="M229" s="78" t="s">
        <v>638</v>
      </c>
      <c r="N229" s="78"/>
      <c r="O229" s="1" t="n">
        <f aca="false">(2*F229*D229^3+(C229-2*F229)*E229^3)/12</f>
        <v>2308437.33333333</v>
      </c>
      <c r="P229" s="1" t="n">
        <f aca="false">IFERROR(SQRT(J229/H229),"")</f>
        <v>37.5010952409752</v>
      </c>
      <c r="Q229" s="1" t="n">
        <f aca="false">IFERROR(SQRT(O229/H229),"")</f>
        <v>35.2671251301056</v>
      </c>
    </row>
    <row r="230" customFormat="false" ht="32.25" hidden="false" customHeight="true" outlineLevel="0" collapsed="false">
      <c r="A230" s="74" t="s">
        <v>665</v>
      </c>
      <c r="B230" s="74" t="s">
        <v>429</v>
      </c>
      <c r="C230" s="74" t="n">
        <v>130</v>
      </c>
      <c r="D230" s="74" t="n">
        <v>130</v>
      </c>
      <c r="E230" s="74" t="n">
        <v>9</v>
      </c>
      <c r="F230" s="74" t="n">
        <v>9</v>
      </c>
      <c r="G230" s="74" t="n">
        <v>0</v>
      </c>
      <c r="H230" s="74" t="n">
        <f aca="false">C230*E230+D230*F230-E230^2</f>
        <v>2259</v>
      </c>
      <c r="I230" s="74" t="n">
        <f aca="false">H230*DB_Settings!$G$5</f>
        <v>17.73315</v>
      </c>
      <c r="J230" s="74" t="n">
        <f aca="false">(E230*C230^3/12+E230*C230*(C230/2-((E230*C230*(C230/2)+D230*F230*(F230/2)-E230^2*(F230/2))/(E230*C230+D230*F230-E230^2)))^2)+(D230*F230^3/12+D230*F230*(F230/2-((E230*C230*(C230/2)+D230*F230*(F230/2)-E230^2*(F230/2))/(E230*C230+D230*F230-E230^2)))^2)-(E230^4/12+E230^2*(F230/2-((E230*C230*(C230/2)+D230*F230*(F230/2)-E230^2*(F230/2))/(E230*C230+D230*F230-E230^2)))^2)</f>
        <v>3719569.24601594</v>
      </c>
      <c r="K230" s="74" t="n">
        <f aca="false">J230/MAX(((E230*C230*(C230/2)+D230*F230*(F230/2)-E230^2*(F230/2))/(E230*C230+D230*F230-E230^2)),C230-((E230*C230*(C230/2)+D230*F230*(F230/2)-E230^2*(F230/2))/(E230*C230+D230*F230-E230^2)))</f>
        <v>39500.407469696</v>
      </c>
      <c r="L230" s="74" t="n">
        <f aca="false">E230*(C230-F230)</f>
        <v>1089</v>
      </c>
      <c r="M230" s="78" t="s">
        <v>638</v>
      </c>
      <c r="N230" s="78"/>
      <c r="O230" s="1" t="n">
        <f aca="false">(2*F230*D230^3+(C230-2*F230)*E230^3)/12</f>
        <v>3302304</v>
      </c>
      <c r="P230" s="1" t="n">
        <f aca="false">IFERROR(SQRT(J230/H230),"")</f>
        <v>40.5777730347582</v>
      </c>
      <c r="Q230" s="1" t="n">
        <f aca="false">IFERROR(SQRT(O230/H230),"")</f>
        <v>38.2340593384053</v>
      </c>
    </row>
    <row r="231" customFormat="false" ht="32.25" hidden="false" customHeight="true" outlineLevel="0" collapsed="false">
      <c r="A231" s="74" t="s">
        <v>666</v>
      </c>
      <c r="B231" s="74" t="s">
        <v>429</v>
      </c>
      <c r="C231" s="74" t="n">
        <v>130</v>
      </c>
      <c r="D231" s="74" t="n">
        <v>130</v>
      </c>
      <c r="E231" s="74" t="n">
        <v>12</v>
      </c>
      <c r="F231" s="74" t="n">
        <v>12</v>
      </c>
      <c r="G231" s="74" t="n">
        <v>0</v>
      </c>
      <c r="H231" s="74" t="n">
        <f aca="false">C231*E231+D231*F231-E231^2</f>
        <v>2976</v>
      </c>
      <c r="I231" s="74" t="n">
        <f aca="false">H231*DB_Settings!$G$5</f>
        <v>23.3616</v>
      </c>
      <c r="J231" s="74" t="n">
        <f aca="false">(E231*C231^3/12+E231*C231*(C231/2-((E231*C231*(C231/2)+D231*F231*(F231/2)-E231^2*(F231/2))/(E231*C231+D231*F231-E231^2)))^2)+(D231*F231^3/12+D231*F231*(F231/2-((E231*C231*(C231/2)+D231*F231*(F231/2)-E231^2*(F231/2))/(E231*C231+D231*F231-E231^2)))^2)-(E231^4/12+E231^2*(F231/2-((E231*C231*(C231/2)+D231*F231*(F231/2)-E231^2*(F231/2))/(E231*C231+D231*F231-E231^2)))^2)</f>
        <v>4797792.32258065</v>
      </c>
      <c r="K231" s="74" t="n">
        <f aca="false">J231/MAX(((E231*C231*(C231/2)+D231*F231*(F231/2)-E231^2*(F231/2))/(E231*C231+D231*F231-E231^2)),C231-((E231*C231*(C231/2)+D231*F231*(F231/2)-E231^2*(F231/2))/(E231*C231+D231*F231-E231^2)))</f>
        <v>51548.9340611732</v>
      </c>
      <c r="L231" s="74" t="n">
        <f aca="false">E231*(C231-F231)</f>
        <v>1416</v>
      </c>
      <c r="M231" s="78" t="s">
        <v>638</v>
      </c>
      <c r="N231" s="78"/>
      <c r="O231" s="1" t="n">
        <f aca="false">(2*F231*D231^3+(C231-2*F231)*E231^3)/12</f>
        <v>4409264</v>
      </c>
      <c r="P231" s="1" t="n">
        <f aca="false">IFERROR(SQRT(J231/H231),"")</f>
        <v>40.1517297101459</v>
      </c>
      <c r="Q231" s="1" t="n">
        <f aca="false">IFERROR(SQRT(O231/H231),"")</f>
        <v>38.4916552889288</v>
      </c>
    </row>
    <row r="232" customFormat="false" ht="32.25" hidden="false" customHeight="true" outlineLevel="0" collapsed="false">
      <c r="A232" s="74" t="s">
        <v>667</v>
      </c>
      <c r="B232" s="74" t="s">
        <v>429</v>
      </c>
      <c r="C232" s="74" t="n">
        <v>130</v>
      </c>
      <c r="D232" s="74" t="n">
        <v>130</v>
      </c>
      <c r="E232" s="74" t="n">
        <v>15</v>
      </c>
      <c r="F232" s="74" t="n">
        <v>15</v>
      </c>
      <c r="G232" s="74" t="n">
        <v>0</v>
      </c>
      <c r="H232" s="74" t="n">
        <f aca="false">C232*E232+D232*F232-E232^2</f>
        <v>3675</v>
      </c>
      <c r="I232" s="74" t="n">
        <f aca="false">H232*DB_Settings!$G$5</f>
        <v>28.84875</v>
      </c>
      <c r="J232" s="74" t="n">
        <f aca="false">(E232*C232^3/12+E232*C232*(C232/2-((E232*C232*(C232/2)+D232*F232*(F232/2)-E232^2*(F232/2))/(E232*C232+D232*F232-E232^2)))^2)+(D232*F232^3/12+D232*F232*(F232/2-((E232*C232*(C232/2)+D232*F232*(F232/2)-E232^2*(F232/2))/(E232*C232+D232*F232-E232^2)))^2)-(E232^4/12+E232^2*(F232/2-((E232*C232*(C232/2)+D232*F232*(F232/2)-E232^2*(F232/2))/(E232*C232+D232*F232-E232^2)))^2)</f>
        <v>5804824.61734694</v>
      </c>
      <c r="K232" s="74" t="n">
        <f aca="false">J232/MAX(((E232*C232*(C232/2)+D232*F232*(F232/2)-E232^2*(F232/2))/(E232*C232+D232*F232-E232^2)),C232-((E232*C232*(C232/2)+D232*F232*(F232/2)-E232^2*(F232/2))/(E232*C232+D232*F232-E232^2)))</f>
        <v>63102.9187465336</v>
      </c>
      <c r="L232" s="74" t="n">
        <f aca="false">E232*(C232-F232)</f>
        <v>1725</v>
      </c>
      <c r="M232" s="78" t="s">
        <v>638</v>
      </c>
      <c r="N232" s="78"/>
      <c r="O232" s="1" t="n">
        <f aca="false">(2*F232*D232^3+(C232-2*F232)*E232^3)/12</f>
        <v>5520625</v>
      </c>
      <c r="P232" s="1" t="n">
        <f aca="false">IFERROR(SQRT(J232/H232),"")</f>
        <v>39.7434788809912</v>
      </c>
      <c r="Q232" s="1" t="n">
        <f aca="false">IFERROR(SQRT(O232/H232),"")</f>
        <v>38.7583653467705</v>
      </c>
    </row>
    <row r="233" customFormat="false" ht="32.25" hidden="false" customHeight="true" outlineLevel="0" collapsed="false">
      <c r="A233" s="74" t="s">
        <v>668</v>
      </c>
      <c r="B233" s="74" t="s">
        <v>429</v>
      </c>
      <c r="C233" s="74" t="n">
        <v>150</v>
      </c>
      <c r="D233" s="74" t="n">
        <v>150</v>
      </c>
      <c r="E233" s="74" t="n">
        <v>12</v>
      </c>
      <c r="F233" s="74" t="n">
        <v>12</v>
      </c>
      <c r="G233" s="74" t="n">
        <v>0</v>
      </c>
      <c r="H233" s="74" t="n">
        <f aca="false">C233*E233+D233*F233-E233^2</f>
        <v>3456</v>
      </c>
      <c r="I233" s="74" t="n">
        <f aca="false">H233*DB_Settings!$G$5</f>
        <v>27.1296</v>
      </c>
      <c r="J233" s="74" t="n">
        <f aca="false">(E233*C233^3/12+E233*C233*(C233/2-((E233*C233*(C233/2)+D233*F233*(F233/2)-E233^2*(F233/2))/(E233*C233+D233*F233-E233^2)))^2)+(D233*F233^3/12+D233*F233*(F233/2-((E233*C233*(C233/2)+D233*F233*(F233/2)-E233^2*(F233/2))/(E233*C233+D233*F233-E233^2)))^2)-(E233^4/12+E233^2*(F233/2-((E233*C233*(C233/2)+D233*F233*(F233/2)-E233^2*(F233/2))/(E233*C233+D233*F233-E233^2)))^2)</f>
        <v>7501234.5</v>
      </c>
      <c r="K233" s="74" t="n">
        <f aca="false">J233/MAX(((E233*C233*(C233/2)+D233*F233*(F233/2)-E233^2*(F233/2))/(E233*C233+D233*F233-E233^2)),C233-((E233*C233*(C233/2)+D233*F233*(F233/2)-E233^2*(F233/2))/(E233*C233+D233*F233-E233^2)))</f>
        <v>69415.7038750723</v>
      </c>
      <c r="L233" s="74" t="n">
        <f aca="false">E233*(C233-F233)</f>
        <v>1656</v>
      </c>
      <c r="M233" s="78" t="s">
        <v>638</v>
      </c>
      <c r="N233" s="78"/>
      <c r="O233" s="1" t="n">
        <f aca="false">(2*F233*D233^3+(C233-2*F233)*E233^3)/12</f>
        <v>6768144</v>
      </c>
      <c r="P233" s="1" t="n">
        <f aca="false">IFERROR(SQRT(J233/H233),"")</f>
        <v>46.588583298379</v>
      </c>
      <c r="Q233" s="1" t="n">
        <f aca="false">IFERROR(SQRT(O233/H233),"")</f>
        <v>44.2535309325708</v>
      </c>
    </row>
    <row r="234" customFormat="false" ht="32.25" hidden="false" customHeight="true" outlineLevel="0" collapsed="false">
      <c r="A234" s="74" t="s">
        <v>669</v>
      </c>
      <c r="B234" s="74" t="s">
        <v>429</v>
      </c>
      <c r="C234" s="74" t="n">
        <v>150</v>
      </c>
      <c r="D234" s="74" t="n">
        <v>150</v>
      </c>
      <c r="E234" s="74" t="n">
        <v>15</v>
      </c>
      <c r="F234" s="74" t="n">
        <v>15</v>
      </c>
      <c r="G234" s="74" t="n">
        <v>0</v>
      </c>
      <c r="H234" s="74" t="n">
        <f aca="false">C234*E234+D234*F234-E234^2</f>
        <v>4275</v>
      </c>
      <c r="I234" s="74" t="n">
        <f aca="false">H234*DB_Settings!$G$5</f>
        <v>33.55875</v>
      </c>
      <c r="J234" s="74" t="n">
        <f aca="false">(E234*C234^3/12+E234*C234*(C234/2-((E234*C234*(C234/2)+D234*F234*(F234/2)-E234^2*(F234/2))/(E234*C234+D234*F234-E234^2)))^2)+(D234*F234^3/12+D234*F234*(F234/2-((E234*C234*(C234/2)+D234*F234*(F234/2)-E234^2*(F234/2))/(E234*C234+D234*F234-E234^2)))^2)-(E234^4/12+E234^2*(F234/2-((E234*C234*(C234/2)+D234*F234*(F234/2)-E234^2*(F234/2))/(E234*C234+D234*F234-E234^2)))^2)</f>
        <v>9112722.03947369</v>
      </c>
      <c r="K234" s="74" t="n">
        <f aca="false">J234/MAX(((E234*C234*(C234/2)+D234*F234*(F234/2)-E234^2*(F234/2))/(E234*C234+D234*F234-E234^2)),C234-((E234*C234*(C234/2)+D234*F234*(F234/2)-E234^2*(F234/2))/(E234*C234+D234*F234-E234^2)))</f>
        <v>85186.5774907749</v>
      </c>
      <c r="L234" s="74" t="n">
        <f aca="false">E234*(C234-F234)</f>
        <v>2025</v>
      </c>
      <c r="M234" s="78" t="s">
        <v>638</v>
      </c>
      <c r="N234" s="78"/>
      <c r="O234" s="1" t="n">
        <f aca="false">(2*F234*D234^3+(C234-2*F234)*E234^3)/12</f>
        <v>8471250</v>
      </c>
      <c r="P234" s="1" t="n">
        <f aca="false">IFERROR(SQRT(J234/H234),"")</f>
        <v>46.1695883285371</v>
      </c>
      <c r="Q234" s="1" t="n">
        <f aca="false">IFERROR(SQRT(O234/H234),"")</f>
        <v>44.5149294885258</v>
      </c>
    </row>
    <row r="235" customFormat="false" ht="32.25" hidden="false" customHeight="true" outlineLevel="0" collapsed="false">
      <c r="A235" s="74" t="s">
        <v>670</v>
      </c>
      <c r="B235" s="74" t="s">
        <v>429</v>
      </c>
      <c r="C235" s="74" t="n">
        <v>150</v>
      </c>
      <c r="D235" s="74" t="n">
        <v>150</v>
      </c>
      <c r="E235" s="74" t="n">
        <v>19</v>
      </c>
      <c r="F235" s="74" t="n">
        <v>19</v>
      </c>
      <c r="G235" s="74" t="n">
        <v>0</v>
      </c>
      <c r="H235" s="74" t="n">
        <f aca="false">C235*E235+D235*F235-E235^2</f>
        <v>5339</v>
      </c>
      <c r="I235" s="74" t="n">
        <f aca="false">H235*DB_Settings!$G$5</f>
        <v>41.91115</v>
      </c>
      <c r="J235" s="74" t="n">
        <f aca="false">(E235*C235^3/12+E235*C235*(C235/2-((E235*C235*(C235/2)+D235*F235*(F235/2)-E235^2*(F235/2))/(E235*C235+D235*F235-E235^2)))^2)+(D235*F235^3/12+D235*F235*(F235/2-((E235*C235*(C235/2)+D235*F235*(F235/2)-E235^2*(F235/2))/(E235*C235+D235*F235-E235^2)))^2)-(E235^4/12+E235^2*(F235/2-((E235*C235*(C235/2)+D235*F235*(F235/2)-E235^2*(F235/2))/(E235*C235+D235*F235-E235^2)))^2)</f>
        <v>11118858.1551008</v>
      </c>
      <c r="K235" s="74" t="n">
        <f aca="false">J235/MAX(((E235*C235*(C235/2)+D235*F235*(F235/2)-E235^2*(F235/2))/(E235*C235+D235*F235-E235^2)),C235-((E235*C235*(C235/2)+D235*F235*(F235/2)-E235^2*(F235/2))/(E235*C235+D235*F235-E235^2)))</f>
        <v>105356.481650397</v>
      </c>
      <c r="L235" s="74" t="n">
        <f aca="false">E235*(C235-F235)</f>
        <v>2489</v>
      </c>
      <c r="M235" s="78" t="s">
        <v>638</v>
      </c>
      <c r="N235" s="78"/>
      <c r="O235" s="1" t="n">
        <f aca="false">(2*F235*D235^3+(C235-2*F235)*E235^3)/12</f>
        <v>10751517.3333333</v>
      </c>
      <c r="P235" s="1" t="n">
        <f aca="false">IFERROR(SQRT(J235/H235),"")</f>
        <v>45.635218527889</v>
      </c>
      <c r="Q235" s="1" t="n">
        <f aca="false">IFERROR(SQRT(O235/H235),"")</f>
        <v>44.8750472926062</v>
      </c>
    </row>
    <row r="236" customFormat="false" ht="32.25" hidden="false" customHeight="true" outlineLevel="0" collapsed="false">
      <c r="A236" s="74" t="s">
        <v>671</v>
      </c>
      <c r="B236" s="74" t="s">
        <v>429</v>
      </c>
      <c r="C236" s="74" t="n">
        <v>175</v>
      </c>
      <c r="D236" s="74" t="n">
        <v>175</v>
      </c>
      <c r="E236" s="74" t="n">
        <v>12</v>
      </c>
      <c r="F236" s="74" t="n">
        <v>12</v>
      </c>
      <c r="G236" s="74" t="n">
        <v>0</v>
      </c>
      <c r="H236" s="74" t="n">
        <f aca="false">C236*E236+D236*F236-E236^2</f>
        <v>4056</v>
      </c>
      <c r="I236" s="74" t="n">
        <f aca="false">H236*DB_Settings!$G$5</f>
        <v>31.8396</v>
      </c>
      <c r="J236" s="74" t="n">
        <f aca="false">(E236*C236^3/12+E236*C236*(C236/2-((E236*C236*(C236/2)+D236*F236*(F236/2)-E236^2*(F236/2))/(E236*C236+D236*F236-E236^2)))^2)+(D236*F236^3/12+D236*F236*(F236/2-((E236*C236*(C236/2)+D236*F236*(F236/2)-E236^2*(F236/2))/(E236*C236+D236*F236-E236^2)))^2)-(E236^4/12+E236^2*(F236/2-((E236*C236*(C236/2)+D236*F236*(F236/2)-E236^2*(F236/2))/(E236*C236+D236*F236-E236^2)))^2)</f>
        <v>12109598.9970414</v>
      </c>
      <c r="K236" s="74" t="n">
        <f aca="false">J236/MAX(((E236*C236*(C236/2)+D236*F236*(F236/2)-E236^2*(F236/2))/(E236*C236+D236*F236-E236^2)),C236-((E236*C236*(C236/2)+D236*F236*(F236/2)-E236^2*(F236/2))/(E236*C236+D236*F236-E236^2)))</f>
        <v>95499.1183051599</v>
      </c>
      <c r="L236" s="74" t="n">
        <f aca="false">E236*(C236-F236)</f>
        <v>1956</v>
      </c>
      <c r="M236" s="78" t="s">
        <v>638</v>
      </c>
      <c r="N236" s="78"/>
      <c r="O236" s="1" t="n">
        <f aca="false">(2*F236*D236^3+(C236-2*F236)*E236^3)/12</f>
        <v>10740494</v>
      </c>
      <c r="P236" s="1" t="n">
        <f aca="false">IFERROR(SQRT(J236/H236),"")</f>
        <v>54.6406563890983</v>
      </c>
      <c r="Q236" s="1" t="n">
        <f aca="false">IFERROR(SQRT(O236/H236),"")</f>
        <v>51.4592148109028</v>
      </c>
    </row>
    <row r="237" customFormat="false" ht="32.25" hidden="false" customHeight="true" outlineLevel="0" collapsed="false">
      <c r="A237" s="74" t="s">
        <v>672</v>
      </c>
      <c r="B237" s="74" t="s">
        <v>429</v>
      </c>
      <c r="C237" s="74" t="n">
        <v>175</v>
      </c>
      <c r="D237" s="74" t="n">
        <v>175</v>
      </c>
      <c r="E237" s="74" t="n">
        <v>15</v>
      </c>
      <c r="F237" s="74" t="n">
        <v>15</v>
      </c>
      <c r="G237" s="74" t="n">
        <v>0</v>
      </c>
      <c r="H237" s="74" t="n">
        <f aca="false">C237*E237+D237*F237-E237^2</f>
        <v>5025</v>
      </c>
      <c r="I237" s="74" t="n">
        <f aca="false">H237*DB_Settings!$G$5</f>
        <v>39.44625</v>
      </c>
      <c r="J237" s="74" t="n">
        <f aca="false">(E237*C237^3/12+E237*C237*(C237/2-((E237*C237*(C237/2)+D237*F237*(F237/2)-E237^2*(F237/2))/(E237*C237+D237*F237-E237^2)))^2)+(D237*F237^3/12+D237*F237*(F237/2-((E237*C237*(C237/2)+D237*F237*(F237/2)-E237^2*(F237/2))/(E237*C237+D237*F237-E237^2)))^2)-(E237^4/12+E237^2*(F237/2-((E237*C237*(C237/2)+D237*F237*(F237/2)-E237^2*(F237/2))/(E237*C237+D237*F237-E237^2)))^2)</f>
        <v>14768099.3470149</v>
      </c>
      <c r="K237" s="74" t="n">
        <f aca="false">J237/MAX(((E237*C237*(C237/2)+D237*F237*(F237/2)-E237^2*(F237/2))/(E237*C237+D237*F237-E237^2)),C237-((E237*C237*(C237/2)+D237*F237*(F237/2)-E237^2*(F237/2))/(E237*C237+D237*F237-E237^2)))</f>
        <v>117478.498812704</v>
      </c>
      <c r="L237" s="74" t="n">
        <f aca="false">E237*(C237-F237)</f>
        <v>2400</v>
      </c>
      <c r="M237" s="78" t="s">
        <v>638</v>
      </c>
      <c r="N237" s="78"/>
      <c r="O237" s="1" t="n">
        <f aca="false">(2*F237*D237^3+(C237-2*F237)*E237^3)/12</f>
        <v>13439218.75</v>
      </c>
      <c r="P237" s="1" t="n">
        <f aca="false">IFERROR(SQRT(J237/H237),"")</f>
        <v>54.2118551904198</v>
      </c>
      <c r="Q237" s="1" t="n">
        <f aca="false">IFERROR(SQRT(O237/H237),"")</f>
        <v>51.7152916750435</v>
      </c>
    </row>
    <row r="238" customFormat="false" ht="32.25" hidden="false" customHeight="true" outlineLevel="0" collapsed="false">
      <c r="A238" s="74" t="s">
        <v>673</v>
      </c>
      <c r="B238" s="74" t="s">
        <v>429</v>
      </c>
      <c r="C238" s="74" t="n">
        <v>200</v>
      </c>
      <c r="D238" s="74" t="n">
        <v>200</v>
      </c>
      <c r="E238" s="74" t="n">
        <v>15</v>
      </c>
      <c r="F238" s="74" t="n">
        <v>15</v>
      </c>
      <c r="G238" s="74" t="n">
        <v>0</v>
      </c>
      <c r="H238" s="74" t="n">
        <f aca="false">C238*E238+D238*F238-E238^2</f>
        <v>5775</v>
      </c>
      <c r="I238" s="74" t="n">
        <f aca="false">H238*DB_Settings!$G$5</f>
        <v>45.33375</v>
      </c>
      <c r="J238" s="74" t="n">
        <f aca="false">(E238*C238^3/12+E238*C238*(C238/2-((E238*C238*(C238/2)+D238*F238*(F238/2)-E238^2*(F238/2))/(E238*C238+D238*F238-E238^2)))^2)+(D238*F238^3/12+D238*F238*(F238/2-((E238*C238*(C238/2)+D238*F238*(F238/2)-E238^2*(F238/2))/(E238*C238+D238*F238-E238^2)))^2)-(E238^4/12+E238^2*(F238/2-((E238*C238*(C238/2)+D238*F238*(F238/2)-E238^2*(F238/2))/(E238*C238+D238*F238-E238^2)))^2)</f>
        <v>22386365.6655844</v>
      </c>
      <c r="K238" s="74" t="n">
        <f aca="false">J238/MAX(((E238*C238*(C238/2)+D238*F238*(F238/2)-E238^2*(F238/2))/(E238*C238+D238*F238-E238^2)),C238-((E238*C238*(C238/2)+D238*F238*(F238/2)-E238^2*(F238/2))/(E238*C238+D238*F238-E238^2)))</f>
        <v>154978.660935042</v>
      </c>
      <c r="L238" s="74" t="n">
        <f aca="false">E238*(C238-F238)</f>
        <v>2775</v>
      </c>
      <c r="M238" s="78" t="s">
        <v>638</v>
      </c>
      <c r="N238" s="78"/>
      <c r="O238" s="1" t="n">
        <f aca="false">(2*F238*D238^3+(C238-2*F238)*E238^3)/12</f>
        <v>20047812.5</v>
      </c>
      <c r="P238" s="1" t="n">
        <f aca="false">IFERROR(SQRT(J238/H238),"")</f>
        <v>62.2609585139801</v>
      </c>
      <c r="Q238" s="1" t="n">
        <f aca="false">IFERROR(SQRT(O238/H238),"")</f>
        <v>58.9192895746604</v>
      </c>
    </row>
    <row r="239" customFormat="false" ht="32.25" hidden="false" customHeight="true" outlineLevel="0" collapsed="false">
      <c r="A239" s="74" t="s">
        <v>674</v>
      </c>
      <c r="B239" s="74" t="s">
        <v>429</v>
      </c>
      <c r="C239" s="74" t="n">
        <v>200</v>
      </c>
      <c r="D239" s="74" t="n">
        <v>200</v>
      </c>
      <c r="E239" s="74" t="n">
        <v>20</v>
      </c>
      <c r="F239" s="74" t="n">
        <v>20</v>
      </c>
      <c r="G239" s="74" t="n">
        <v>0</v>
      </c>
      <c r="H239" s="74" t="n">
        <f aca="false">C239*E239+D239*F239-E239^2</f>
        <v>7600</v>
      </c>
      <c r="I239" s="74" t="n">
        <f aca="false">H239*DB_Settings!$G$5</f>
        <v>59.66</v>
      </c>
      <c r="J239" s="74" t="n">
        <f aca="false">(E239*C239^3/12+E239*C239*(C239/2-((E239*C239*(C239/2)+D239*F239*(F239/2)-E239^2*(F239/2))/(E239*C239+D239*F239-E239^2)))^2)+(D239*F239^3/12+D239*F239*(F239/2-((E239*C239*(C239/2)+D239*F239*(F239/2)-E239^2*(F239/2))/(E239*C239+D239*F239-E239^2)))^2)-(E239^4/12+E239^2*(F239/2-((E239*C239*(C239/2)+D239*F239*(F239/2)-E239^2*(F239/2))/(E239*C239+D239*F239-E239^2)))^2)</f>
        <v>28800701.754386</v>
      </c>
      <c r="K239" s="74" t="n">
        <f aca="false">J239/MAX(((E239*C239*(C239/2)+D239*F239*(F239/2)-E239^2*(F239/2))/(E239*C239+D239*F239-E239^2)),C239-((E239*C239*(C239/2)+D239*F239*(F239/2)-E239^2*(F239/2))/(E239*C239+D239*F239-E239^2)))</f>
        <v>201923.739237392</v>
      </c>
      <c r="L239" s="74" t="n">
        <f aca="false">E239*(C239-F239)</f>
        <v>3600</v>
      </c>
      <c r="M239" s="78" t="s">
        <v>638</v>
      </c>
      <c r="N239" s="78"/>
      <c r="O239" s="1" t="n">
        <f aca="false">(2*F239*D239^3+(C239-2*F239)*E239^3)/12</f>
        <v>26773333.3333333</v>
      </c>
      <c r="P239" s="1" t="n">
        <f aca="false">IFERROR(SQRT(J239/H239),"")</f>
        <v>61.5594511047162</v>
      </c>
      <c r="Q239" s="1" t="n">
        <f aca="false">IFERROR(SQRT(O239/H239),"")</f>
        <v>59.3532393180344</v>
      </c>
    </row>
    <row r="240" customFormat="false" ht="32.25" hidden="false" customHeight="true" outlineLevel="0" collapsed="false">
      <c r="A240" s="74" t="s">
        <v>675</v>
      </c>
      <c r="B240" s="74" t="s">
        <v>429</v>
      </c>
      <c r="C240" s="74" t="n">
        <v>200</v>
      </c>
      <c r="D240" s="74" t="n">
        <v>200</v>
      </c>
      <c r="E240" s="74" t="n">
        <v>25</v>
      </c>
      <c r="F240" s="74" t="n">
        <v>25</v>
      </c>
      <c r="G240" s="74" t="n">
        <v>0</v>
      </c>
      <c r="H240" s="74" t="n">
        <f aca="false">C240*E240+D240*F240-E240^2</f>
        <v>9375</v>
      </c>
      <c r="I240" s="74" t="n">
        <f aca="false">H240*DB_Settings!$G$5</f>
        <v>73.59375</v>
      </c>
      <c r="J240" s="74" t="n">
        <f aca="false">(E240*C240^3/12+E240*C240*(C240/2-((E240*C240*(C240/2)+D240*F240*(F240/2)-E240^2*(F240/2))/(E240*C240+D240*F240-E240^2)))^2)+(D240*F240^3/12+D240*F240*(F240/2-((E240*C240*(C240/2)+D240*F240*(F240/2)-E240^2*(F240/2))/(E240*C240+D240*F240-E240^2)))^2)-(E240^4/12+E240^2*(F240/2-((E240*C240*(C240/2)+D240*F240*(F240/2)-E240^2*(F240/2))/(E240*C240+D240*F240-E240^2)))^2)</f>
        <v>34759114.5833333</v>
      </c>
      <c r="K240" s="74" t="n">
        <f aca="false">J240/MAX(((E240*C240*(C240/2)+D240*F240*(F240/2)-E240^2*(F240/2))/(E240*C240+D240*F240-E240^2)),C240-((E240*C240*(C240/2)+D240*F240*(F240/2)-E240^2*(F240/2))/(E240*C240+D240*F240-E240^2)))</f>
        <v>246810.281065089</v>
      </c>
      <c r="L240" s="74" t="n">
        <f aca="false">E240*(C240-F240)</f>
        <v>4375</v>
      </c>
      <c r="M240" s="78" t="s">
        <v>638</v>
      </c>
      <c r="N240" s="78"/>
      <c r="O240" s="1" t="n">
        <f aca="false">(2*F240*D240^3+(C240-2*F240)*E240^3)/12</f>
        <v>33528645.8333333</v>
      </c>
      <c r="P240" s="1" t="n">
        <f aca="false">IFERROR(SQRT(J240/H240),"")</f>
        <v>60.8903842071052</v>
      </c>
      <c r="Q240" s="1" t="n">
        <f aca="false">IFERROR(SQRT(O240/H240),"")</f>
        <v>59.8029170600305</v>
      </c>
    </row>
    <row r="241" customFormat="false" ht="32.25" hidden="false" customHeight="true" outlineLevel="0" collapsed="false">
      <c r="A241" s="74" t="s">
        <v>676</v>
      </c>
      <c r="B241" s="74" t="s">
        <v>429</v>
      </c>
      <c r="C241" s="74" t="n">
        <v>250</v>
      </c>
      <c r="D241" s="74" t="n">
        <v>250</v>
      </c>
      <c r="E241" s="74" t="n">
        <v>25</v>
      </c>
      <c r="F241" s="74" t="n">
        <v>25</v>
      </c>
      <c r="G241" s="74" t="n">
        <v>0</v>
      </c>
      <c r="H241" s="74" t="n">
        <f aca="false">C241*E241+D241*F241-E241^2</f>
        <v>11875</v>
      </c>
      <c r="I241" s="74" t="n">
        <f aca="false">H241*DB_Settings!$G$5</f>
        <v>93.21875</v>
      </c>
      <c r="J241" s="74" t="n">
        <f aca="false">(E241*C241^3/12+E241*C241*(C241/2-((E241*C241*(C241/2)+D241*F241*(F241/2)-E241^2*(F241/2))/(E241*C241+D241*F241-E241^2)))^2)+(D241*F241^3/12+D241*F241*(F241/2-((E241*C241*(C241/2)+D241*F241*(F241/2)-E241^2*(F241/2))/(E241*C241+D241*F241-E241^2)))^2)-(E241^4/12+E241^2*(F241/2-((E241*C241*(C241/2)+D241*F241*(F241/2)-E241^2*(F241/2))/(E241*C241+D241*F241-E241^2)))^2)</f>
        <v>70314213.2675439</v>
      </c>
      <c r="K241" s="74" t="n">
        <f aca="false">J241/MAX(((E241*C241*(C241/2)+D241*F241*(F241/2)-E241^2*(F241/2))/(E241*C241+D241*F241-E241^2)),C241-((E241*C241*(C241/2)+D241*F241*(F241/2)-E241^2*(F241/2))/(E241*C241+D241*F241-E241^2)))</f>
        <v>394382.303198032</v>
      </c>
      <c r="L241" s="74" t="n">
        <f aca="false">E241*(C241-F241)</f>
        <v>5625</v>
      </c>
      <c r="M241" s="78" t="s">
        <v>638</v>
      </c>
      <c r="N241" s="78"/>
      <c r="O241" s="1" t="n">
        <f aca="false">(2*F241*D241^3+(C241-2*F241)*E241^3)/12</f>
        <v>65364583.3333333</v>
      </c>
      <c r="P241" s="1" t="n">
        <f aca="false">IFERROR(SQRT(J241/H241),"")</f>
        <v>76.9493138808952</v>
      </c>
      <c r="Q241" s="1" t="n">
        <f aca="false">IFERROR(SQRT(O241/H241),"")</f>
        <v>74.1915491475429</v>
      </c>
    </row>
    <row r="242" customFormat="false" ht="32.25" hidden="false" customHeight="true" outlineLevel="0" collapsed="false">
      <c r="A242" s="74" t="s">
        <v>677</v>
      </c>
      <c r="B242" s="74" t="s">
        <v>429</v>
      </c>
      <c r="C242" s="74" t="n">
        <v>250</v>
      </c>
      <c r="D242" s="74" t="n">
        <v>250</v>
      </c>
      <c r="E242" s="74" t="n">
        <v>35</v>
      </c>
      <c r="F242" s="74" t="n">
        <v>35</v>
      </c>
      <c r="G242" s="74" t="n">
        <v>0</v>
      </c>
      <c r="H242" s="74" t="n">
        <f aca="false">C242*E242+D242*F242-E242^2</f>
        <v>16275</v>
      </c>
      <c r="I242" s="74" t="n">
        <f aca="false">H242*DB_Settings!$G$5</f>
        <v>127.75875</v>
      </c>
      <c r="J242" s="74" t="n">
        <f aca="false">(E242*C242^3/12+E242*C242*(C242/2-((E242*C242*(C242/2)+D242*F242*(F242/2)-E242^2*(F242/2))/(E242*C242+D242*F242-E242^2)))^2)+(D242*F242^3/12+D242*F242*(F242/2-((E242*C242*(C242/2)+D242*F242*(F242/2)-E242^2*(F242/2))/(E242*C242+D242*F242-E242^2)))^2)-(E242^4/12+E242^2*(F242/2-((E242*C242*(C242/2)+D242*F242*(F242/2)-E242^2*(F242/2))/(E242*C242+D242*F242-E242^2)))^2)</f>
        <v>93094201.9489247</v>
      </c>
      <c r="K242" s="74" t="n">
        <f aca="false">J242/MAX(((E242*C242*(C242/2)+D242*F242*(F242/2)-E242^2*(F242/2))/(E242*C242+D242*F242-E242^2)),C242-((E242*C242*(C242/2)+D242*F242*(F242/2)-E242^2*(F242/2))/(E242*C242+D242*F242-E242^2)))</f>
        <v>532867.258424373</v>
      </c>
      <c r="L242" s="74" t="n">
        <f aca="false">E242*(C242-F242)</f>
        <v>7525</v>
      </c>
      <c r="M242" s="78" t="s">
        <v>638</v>
      </c>
      <c r="N242" s="78"/>
      <c r="O242" s="1" t="n">
        <f aca="false">(2*F242*D242^3+(C242-2*F242)*E242^3)/12</f>
        <v>91788958.3333333</v>
      </c>
      <c r="P242" s="1" t="n">
        <f aca="false">IFERROR(SQRT(J242/H242),"")</f>
        <v>75.6311698472825</v>
      </c>
      <c r="Q242" s="1" t="n">
        <f aca="false">IFERROR(SQRT(O242/H242),"")</f>
        <v>75.0990982101072</v>
      </c>
    </row>
    <row r="243" customFormat="false" ht="32.25" hidden="false" customHeight="true" outlineLevel="0" collapsed="false">
      <c r="A243" s="74" t="s">
        <v>678</v>
      </c>
      <c r="B243" s="74" t="s">
        <v>679</v>
      </c>
      <c r="C243" s="74" t="n">
        <v>100</v>
      </c>
      <c r="D243" s="74" t="n">
        <v>75</v>
      </c>
      <c r="E243" s="74" t="n">
        <v>5</v>
      </c>
      <c r="F243" s="74" t="n">
        <v>8</v>
      </c>
      <c r="G243" s="74" t="s">
        <v>680</v>
      </c>
      <c r="H243" s="74" t="n">
        <v>1640</v>
      </c>
      <c r="I243" s="74" t="n">
        <v>12.9</v>
      </c>
      <c r="J243" s="74" t="n">
        <v>2810000</v>
      </c>
      <c r="K243" s="74" t="n">
        <v>56200</v>
      </c>
      <c r="L243" s="74" t="n">
        <v>420</v>
      </c>
      <c r="M243" s="77" t="s">
        <v>681</v>
      </c>
      <c r="N243" s="77" t="s">
        <v>682</v>
      </c>
      <c r="O243" s="1" t="n">
        <f aca="false">(2*F243*D243^3+(C243-2*F243)*E243^3)/12</f>
        <v>563375</v>
      </c>
      <c r="P243" s="1" t="n">
        <f aca="false">IFERROR(SQRT(J243/H243),"")</f>
        <v>41.3934129318463</v>
      </c>
      <c r="Q243" s="1" t="n">
        <f aca="false">IFERROR(SQRT(O243/H243),"")</f>
        <v>18.5343287297764</v>
      </c>
    </row>
    <row r="244" customFormat="false" ht="32.25" hidden="false" customHeight="true" outlineLevel="0" collapsed="false">
      <c r="A244" s="74" t="s">
        <v>683</v>
      </c>
      <c r="B244" s="74" t="s">
        <v>679</v>
      </c>
      <c r="C244" s="74" t="n">
        <v>125</v>
      </c>
      <c r="D244" s="74" t="n">
        <v>75</v>
      </c>
      <c r="E244" s="74" t="n">
        <v>5.5</v>
      </c>
      <c r="F244" s="74" t="n">
        <v>9.5</v>
      </c>
      <c r="G244" s="74" t="s">
        <v>684</v>
      </c>
      <c r="H244" s="74" t="n">
        <v>2050</v>
      </c>
      <c r="I244" s="74" t="n">
        <v>16.1</v>
      </c>
      <c r="J244" s="74" t="n">
        <v>5380000</v>
      </c>
      <c r="K244" s="74" t="n">
        <v>86000</v>
      </c>
      <c r="L244" s="74" t="n">
        <v>583</v>
      </c>
      <c r="M244" s="77" t="s">
        <v>681</v>
      </c>
      <c r="N244" s="77" t="s">
        <v>682</v>
      </c>
      <c r="O244" s="1" t="n">
        <f aca="false">(2*F244*D244^3+(C244-2*F244)*E244^3)/12</f>
        <v>669438.395833333</v>
      </c>
      <c r="P244" s="1" t="n">
        <f aca="false">IFERROR(SQRT(J244/H244),"")</f>
        <v>51.2288028739931</v>
      </c>
      <c r="Q244" s="1" t="n">
        <f aca="false">IFERROR(SQRT(O244/H244),"")</f>
        <v>18.0708415697955</v>
      </c>
    </row>
    <row r="245" customFormat="false" ht="32.25" hidden="false" customHeight="true" outlineLevel="0" collapsed="false">
      <c r="A245" s="74" t="s">
        <v>685</v>
      </c>
      <c r="B245" s="74" t="s">
        <v>679</v>
      </c>
      <c r="C245" s="74" t="n">
        <v>150</v>
      </c>
      <c r="D245" s="74" t="n">
        <v>75</v>
      </c>
      <c r="E245" s="74" t="n">
        <v>5.5</v>
      </c>
      <c r="F245" s="74" t="n">
        <v>9.5</v>
      </c>
      <c r="G245" s="74" t="s">
        <v>684</v>
      </c>
      <c r="H245" s="74" t="n">
        <v>2180</v>
      </c>
      <c r="I245" s="74" t="n">
        <v>17.1</v>
      </c>
      <c r="J245" s="74" t="n">
        <v>8190000</v>
      </c>
      <c r="K245" s="74" t="n">
        <v>109000</v>
      </c>
      <c r="L245" s="74" t="n">
        <v>720.5</v>
      </c>
      <c r="M245" s="77" t="s">
        <v>681</v>
      </c>
      <c r="N245" s="77" t="s">
        <v>682</v>
      </c>
      <c r="O245" s="1" t="n">
        <f aca="false">(2*F245*D245^3+(C245-2*F245)*E245^3)/12</f>
        <v>669785.010416667</v>
      </c>
      <c r="P245" s="1" t="n">
        <f aca="false">IFERROR(SQRT(J245/H245),"")</f>
        <v>61.2933987795175</v>
      </c>
      <c r="Q245" s="1" t="n">
        <f aca="false">IFERROR(SQRT(O245/H245),"")</f>
        <v>17.5282865810199</v>
      </c>
    </row>
    <row r="246" customFormat="false" ht="32.25" hidden="false" customHeight="true" outlineLevel="0" collapsed="false">
      <c r="A246" s="74" t="s">
        <v>686</v>
      </c>
      <c r="B246" s="74" t="s">
        <v>679</v>
      </c>
      <c r="C246" s="74" t="n">
        <v>150</v>
      </c>
      <c r="D246" s="74" t="n">
        <v>125</v>
      </c>
      <c r="E246" s="74" t="n">
        <v>8.5</v>
      </c>
      <c r="F246" s="74" t="n">
        <v>14</v>
      </c>
      <c r="G246" s="74" t="s">
        <v>687</v>
      </c>
      <c r="H246" s="74" t="n">
        <v>4620</v>
      </c>
      <c r="I246" s="74" t="n">
        <v>36.2</v>
      </c>
      <c r="J246" s="74" t="n">
        <v>17600000</v>
      </c>
      <c r="K246" s="74" t="n">
        <v>235000</v>
      </c>
      <c r="L246" s="74" t="n">
        <v>1037</v>
      </c>
      <c r="M246" s="77" t="s">
        <v>681</v>
      </c>
      <c r="N246" s="77" t="s">
        <v>682</v>
      </c>
      <c r="O246" s="1" t="n">
        <f aca="false">(2*F246*D246^3+(C246-2*F246)*E246^3)/12</f>
        <v>4563535.27083333</v>
      </c>
      <c r="P246" s="1" t="n">
        <f aca="false">IFERROR(SQRT(J246/H246),"")</f>
        <v>61.7213399848368</v>
      </c>
      <c r="Q246" s="1" t="n">
        <f aca="false">IFERROR(SQRT(O246/H246),"")</f>
        <v>31.4289388486164</v>
      </c>
    </row>
    <row r="247" customFormat="false" ht="32.25" hidden="false" customHeight="true" outlineLevel="0" collapsed="false">
      <c r="A247" s="74" t="s">
        <v>688</v>
      </c>
      <c r="B247" s="74" t="s">
        <v>679</v>
      </c>
      <c r="C247" s="74" t="n">
        <v>180</v>
      </c>
      <c r="D247" s="74" t="n">
        <v>100</v>
      </c>
      <c r="E247" s="74" t="n">
        <v>6</v>
      </c>
      <c r="F247" s="74" t="n">
        <v>10</v>
      </c>
      <c r="G247" s="74" t="s">
        <v>689</v>
      </c>
      <c r="H247" s="74" t="n">
        <v>3010</v>
      </c>
      <c r="I247" s="74" t="n">
        <v>23.6</v>
      </c>
      <c r="J247" s="74" t="n">
        <v>16700000</v>
      </c>
      <c r="K247" s="74" t="n">
        <v>186000</v>
      </c>
      <c r="L247" s="74" t="n">
        <v>960</v>
      </c>
      <c r="M247" s="77" t="s">
        <v>681</v>
      </c>
      <c r="N247" s="77" t="s">
        <v>682</v>
      </c>
      <c r="O247" s="1" t="n">
        <f aca="false">(2*F247*D247^3+(C247-2*F247)*E247^3)/12</f>
        <v>1669546.66666667</v>
      </c>
      <c r="P247" s="1" t="n">
        <f aca="false">IFERROR(SQRT(J247/H247),"")</f>
        <v>74.486057470342</v>
      </c>
      <c r="Q247" s="1" t="n">
        <f aca="false">IFERROR(SQRT(O247/H247),"")</f>
        <v>23.5513623102076</v>
      </c>
    </row>
    <row r="248" customFormat="false" ht="32.25" hidden="false" customHeight="true" outlineLevel="0" collapsed="false">
      <c r="A248" s="74" t="s">
        <v>690</v>
      </c>
      <c r="B248" s="74" t="s">
        <v>679</v>
      </c>
      <c r="C248" s="74" t="n">
        <v>200</v>
      </c>
      <c r="D248" s="74" t="n">
        <v>100</v>
      </c>
      <c r="E248" s="74" t="n">
        <v>7</v>
      </c>
      <c r="F248" s="74" t="n">
        <v>10</v>
      </c>
      <c r="G248" s="74" t="s">
        <v>689</v>
      </c>
      <c r="H248" s="74" t="n">
        <v>3310</v>
      </c>
      <c r="I248" s="74" t="n">
        <v>26</v>
      </c>
      <c r="J248" s="74" t="n">
        <v>21700000</v>
      </c>
      <c r="K248" s="74" t="n">
        <v>217000</v>
      </c>
      <c r="L248" s="74" t="n">
        <v>1260</v>
      </c>
      <c r="M248" s="77" t="s">
        <v>681</v>
      </c>
      <c r="N248" s="77" t="s">
        <v>682</v>
      </c>
      <c r="O248" s="1" t="n">
        <f aca="false">(2*F248*D248^3+(C248-2*F248)*E248^3)/12</f>
        <v>1671811.66666667</v>
      </c>
      <c r="P248" s="1" t="n">
        <f aca="false">IFERROR(SQRT(J248/H248),"")</f>
        <v>80.9684582950095</v>
      </c>
      <c r="Q248" s="1" t="n">
        <f aca="false">IFERROR(SQRT(O248/H248),"")</f>
        <v>22.4739638998913</v>
      </c>
    </row>
    <row r="249" customFormat="false" ht="32.25" hidden="false" customHeight="true" outlineLevel="0" collapsed="false">
      <c r="A249" s="74" t="s">
        <v>691</v>
      </c>
      <c r="B249" s="74" t="s">
        <v>679</v>
      </c>
      <c r="C249" s="74" t="n">
        <v>200</v>
      </c>
      <c r="D249" s="74" t="n">
        <v>150</v>
      </c>
      <c r="E249" s="74" t="n">
        <v>9</v>
      </c>
      <c r="F249" s="74" t="n">
        <v>16</v>
      </c>
      <c r="G249" s="74" t="s">
        <v>692</v>
      </c>
      <c r="H249" s="74" t="n">
        <v>6420</v>
      </c>
      <c r="I249" s="74" t="n">
        <v>50.4</v>
      </c>
      <c r="J249" s="74" t="n">
        <v>44600000</v>
      </c>
      <c r="K249" s="74" t="n">
        <v>446000</v>
      </c>
      <c r="L249" s="74" t="n">
        <v>1512</v>
      </c>
      <c r="M249" s="77" t="s">
        <v>681</v>
      </c>
      <c r="N249" s="77" t="s">
        <v>682</v>
      </c>
      <c r="O249" s="1" t="n">
        <f aca="false">(2*F249*D249^3+(C249-2*F249)*E249^3)/12</f>
        <v>9010206</v>
      </c>
      <c r="P249" s="1" t="n">
        <f aca="false">IFERROR(SQRT(J249/H249),"")</f>
        <v>83.3489082018617</v>
      </c>
      <c r="Q249" s="1" t="n">
        <f aca="false">IFERROR(SQRT(O249/H249),"")</f>
        <v>37.4627665623439</v>
      </c>
    </row>
    <row r="250" customFormat="false" ht="32.25" hidden="false" customHeight="true" outlineLevel="0" collapsed="false">
      <c r="A250" s="74" t="s">
        <v>693</v>
      </c>
      <c r="B250" s="74" t="s">
        <v>679</v>
      </c>
      <c r="C250" s="74" t="n">
        <v>250</v>
      </c>
      <c r="D250" s="74" t="n">
        <v>125</v>
      </c>
      <c r="E250" s="74" t="n">
        <v>7.5</v>
      </c>
      <c r="F250" s="74" t="n">
        <v>12.5</v>
      </c>
      <c r="G250" s="74" t="s">
        <v>694</v>
      </c>
      <c r="H250" s="74" t="n">
        <v>4880</v>
      </c>
      <c r="I250" s="74" t="n">
        <v>38.3</v>
      </c>
      <c r="J250" s="74" t="n">
        <v>51800000</v>
      </c>
      <c r="K250" s="74" t="n">
        <v>414000</v>
      </c>
      <c r="L250" s="74" t="n">
        <v>1687.5</v>
      </c>
      <c r="M250" s="77" t="s">
        <v>681</v>
      </c>
      <c r="N250" s="77" t="s">
        <v>682</v>
      </c>
      <c r="O250" s="1" t="n">
        <f aca="false">(2*F250*D250^3+(C250-2*F250)*E250^3)/12</f>
        <v>4076920.57291667</v>
      </c>
      <c r="P250" s="1" t="n">
        <f aca="false">IFERROR(SQRT(J250/H250),"")</f>
        <v>103.027928729838</v>
      </c>
      <c r="Q250" s="1" t="n">
        <f aca="false">IFERROR(SQRT(O250/H250),"")</f>
        <v>28.9038845768257</v>
      </c>
    </row>
    <row r="251" customFormat="false" ht="32.25" hidden="false" customHeight="true" outlineLevel="0" collapsed="false">
      <c r="A251" s="74" t="s">
        <v>695</v>
      </c>
      <c r="B251" s="74" t="s">
        <v>679</v>
      </c>
      <c r="C251" s="74" t="n">
        <v>250</v>
      </c>
      <c r="D251" s="74" t="n">
        <v>125</v>
      </c>
      <c r="E251" s="74" t="n">
        <v>10</v>
      </c>
      <c r="F251" s="74" t="n">
        <v>19</v>
      </c>
      <c r="G251" s="74" t="s">
        <v>696</v>
      </c>
      <c r="H251" s="74" t="n">
        <v>7070</v>
      </c>
      <c r="I251" s="74" t="n">
        <v>55.5</v>
      </c>
      <c r="J251" s="74" t="n">
        <v>73100000</v>
      </c>
      <c r="K251" s="74" t="n">
        <v>585000</v>
      </c>
      <c r="L251" s="74" t="n">
        <v>2120</v>
      </c>
      <c r="M251" s="77" t="s">
        <v>681</v>
      </c>
      <c r="N251" s="77" t="s">
        <v>682</v>
      </c>
      <c r="O251" s="1" t="n">
        <f aca="false">(2*F251*D251^3+(C251-2*F251)*E251^3)/12</f>
        <v>6202562.5</v>
      </c>
      <c r="P251" s="1" t="n">
        <f aca="false">IFERROR(SQRT(J251/H251),"")</f>
        <v>101.683147658205</v>
      </c>
      <c r="Q251" s="1" t="n">
        <f aca="false">IFERROR(SQRT(O251/H251),"")</f>
        <v>29.6193734623111</v>
      </c>
    </row>
    <row r="252" customFormat="false" ht="32.25" hidden="false" customHeight="true" outlineLevel="0" collapsed="false">
      <c r="A252" s="74" t="s">
        <v>697</v>
      </c>
      <c r="B252" s="74" t="s">
        <v>679</v>
      </c>
      <c r="C252" s="74" t="n">
        <v>300</v>
      </c>
      <c r="D252" s="74" t="n">
        <v>150</v>
      </c>
      <c r="E252" s="74" t="n">
        <v>8</v>
      </c>
      <c r="F252" s="74" t="n">
        <v>13</v>
      </c>
      <c r="G252" s="74" t="s">
        <v>694</v>
      </c>
      <c r="H252" s="74" t="n">
        <v>6160</v>
      </c>
      <c r="I252" s="74" t="n">
        <v>48.3</v>
      </c>
      <c r="J252" s="74" t="n">
        <v>94800000</v>
      </c>
      <c r="K252" s="74" t="n">
        <v>632000</v>
      </c>
      <c r="L252" s="74" t="n">
        <v>2192</v>
      </c>
      <c r="M252" s="77" t="s">
        <v>681</v>
      </c>
      <c r="N252" s="77" t="s">
        <v>682</v>
      </c>
      <c r="O252" s="1" t="n">
        <f aca="false">(2*F252*D252^3+(C252-2*F252)*E252^3)/12</f>
        <v>7324190.66666667</v>
      </c>
      <c r="P252" s="1" t="n">
        <f aca="false">IFERROR(SQRT(J252/H252),"")</f>
        <v>124.05486846396</v>
      </c>
      <c r="Q252" s="1" t="n">
        <f aca="false">IFERROR(SQRT(O252/H252),"")</f>
        <v>34.4817631704353</v>
      </c>
    </row>
    <row r="253" customFormat="false" ht="32.25" hidden="false" customHeight="true" outlineLevel="0" collapsed="false">
      <c r="A253" s="74" t="s">
        <v>698</v>
      </c>
      <c r="B253" s="74" t="s">
        <v>679</v>
      </c>
      <c r="C253" s="74" t="n">
        <v>300</v>
      </c>
      <c r="D253" s="74" t="n">
        <v>150</v>
      </c>
      <c r="E253" s="74" t="n">
        <v>10</v>
      </c>
      <c r="F253" s="74" t="n">
        <v>18.5</v>
      </c>
      <c r="G253" s="74" t="s">
        <v>699</v>
      </c>
      <c r="H253" s="74" t="n">
        <v>8350</v>
      </c>
      <c r="I253" s="74" t="n">
        <v>65.5</v>
      </c>
      <c r="J253" s="74" t="n">
        <v>127000000</v>
      </c>
      <c r="K253" s="74" t="n">
        <v>847000</v>
      </c>
      <c r="L253" s="74" t="n">
        <v>2630</v>
      </c>
      <c r="M253" s="77" t="s">
        <v>681</v>
      </c>
      <c r="N253" s="77" t="s">
        <v>682</v>
      </c>
      <c r="O253" s="1" t="n">
        <f aca="false">(2*F253*D253^3+(C253-2*F253)*E253^3)/12</f>
        <v>10428166.6666667</v>
      </c>
      <c r="P253" s="1" t="n">
        <f aca="false">IFERROR(SQRT(J253/H253),"")</f>
        <v>123.327129368697</v>
      </c>
      <c r="Q253" s="1" t="n">
        <f aca="false">IFERROR(SQRT(O253/H253),"")</f>
        <v>35.3395279471719</v>
      </c>
    </row>
    <row r="254" customFormat="false" ht="32.25" hidden="false" customHeight="true" outlineLevel="0" collapsed="false">
      <c r="A254" s="74" t="s">
        <v>700</v>
      </c>
      <c r="B254" s="74" t="s">
        <v>679</v>
      </c>
      <c r="C254" s="74" t="n">
        <v>300</v>
      </c>
      <c r="D254" s="74" t="n">
        <v>150</v>
      </c>
      <c r="E254" s="74" t="n">
        <v>11.5</v>
      </c>
      <c r="F254" s="74" t="n">
        <v>22</v>
      </c>
      <c r="G254" s="74" t="s">
        <v>701</v>
      </c>
      <c r="H254" s="74" t="n">
        <v>9790</v>
      </c>
      <c r="I254" s="74" t="n">
        <v>76.8</v>
      </c>
      <c r="J254" s="74" t="n">
        <v>147000000</v>
      </c>
      <c r="K254" s="74" t="n">
        <v>978000</v>
      </c>
      <c r="L254" s="74" t="n">
        <v>2944</v>
      </c>
      <c r="M254" s="77" t="s">
        <v>681</v>
      </c>
      <c r="N254" s="77" t="s">
        <v>682</v>
      </c>
      <c r="O254" s="1" t="n">
        <f aca="false">(2*F254*D254^3+(C254-2*F254)*E254^3)/12</f>
        <v>12407445.3333333</v>
      </c>
      <c r="P254" s="1" t="n">
        <f aca="false">IFERROR(SQRT(J254/H254),"")</f>
        <v>122.537021984765</v>
      </c>
      <c r="Q254" s="1" t="n">
        <f aca="false">IFERROR(SQRT(O254/H254),"")</f>
        <v>35.5999869927633</v>
      </c>
    </row>
    <row r="255" customFormat="false" ht="32.25" hidden="false" customHeight="true" outlineLevel="0" collapsed="false">
      <c r="A255" s="74" t="s">
        <v>702</v>
      </c>
      <c r="B255" s="74" t="s">
        <v>679</v>
      </c>
      <c r="C255" s="74" t="n">
        <v>350</v>
      </c>
      <c r="D255" s="74" t="n">
        <v>150</v>
      </c>
      <c r="E255" s="74" t="n">
        <v>9</v>
      </c>
      <c r="F255" s="74" t="n">
        <v>15</v>
      </c>
      <c r="G255" s="74" t="s">
        <v>687</v>
      </c>
      <c r="H255" s="74" t="n">
        <v>7460</v>
      </c>
      <c r="I255" s="74" t="n">
        <v>58.5</v>
      </c>
      <c r="J255" s="74" t="n">
        <v>152000000</v>
      </c>
      <c r="K255" s="74" t="n">
        <v>870000</v>
      </c>
      <c r="L255" s="74" t="n">
        <v>2880</v>
      </c>
      <c r="M255" s="77" t="s">
        <v>681</v>
      </c>
      <c r="N255" s="77" t="s">
        <v>682</v>
      </c>
      <c r="O255" s="1" t="n">
        <f aca="false">(2*F255*D255^3+(C255-2*F255)*E255^3)/12</f>
        <v>8456940</v>
      </c>
      <c r="P255" s="1" t="n">
        <f aca="false">IFERROR(SQRT(J255/H255),"")</f>
        <v>142.74219810779</v>
      </c>
      <c r="Q255" s="1" t="n">
        <f aca="false">IFERROR(SQRT(O255/H255),"")</f>
        <v>33.6695421665501</v>
      </c>
    </row>
    <row r="256" customFormat="false" ht="32.25" hidden="false" customHeight="true" outlineLevel="0" collapsed="false">
      <c r="A256" s="74" t="s">
        <v>703</v>
      </c>
      <c r="B256" s="74" t="s">
        <v>679</v>
      </c>
      <c r="C256" s="74" t="n">
        <v>350</v>
      </c>
      <c r="D256" s="74" t="n">
        <v>150</v>
      </c>
      <c r="E256" s="74" t="n">
        <v>12</v>
      </c>
      <c r="F256" s="74" t="n">
        <v>24</v>
      </c>
      <c r="G256" s="74" t="s">
        <v>704</v>
      </c>
      <c r="H256" s="74" t="n">
        <v>11100</v>
      </c>
      <c r="I256" s="74" t="n">
        <v>87.2</v>
      </c>
      <c r="J256" s="74" t="n">
        <v>224000000</v>
      </c>
      <c r="K256" s="74" t="n">
        <v>1280000</v>
      </c>
      <c r="L256" s="74" t="n">
        <v>3624</v>
      </c>
      <c r="M256" s="77" t="s">
        <v>681</v>
      </c>
      <c r="N256" s="77" t="s">
        <v>682</v>
      </c>
      <c r="O256" s="1" t="n">
        <f aca="false">(2*F256*D256^3+(C256-2*F256)*E256^3)/12</f>
        <v>13543488</v>
      </c>
      <c r="P256" s="1" t="n">
        <f aca="false">IFERROR(SQRT(J256/H256),"")</f>
        <v>142.056961040916</v>
      </c>
      <c r="Q256" s="1" t="n">
        <f aca="false">IFERROR(SQRT(O256/H256),"")</f>
        <v>34.9304173186358</v>
      </c>
    </row>
    <row r="257" customFormat="false" ht="32.25" hidden="false" customHeight="true" outlineLevel="0" collapsed="false">
      <c r="A257" s="74" t="s">
        <v>705</v>
      </c>
      <c r="B257" s="74" t="s">
        <v>679</v>
      </c>
      <c r="C257" s="74" t="n">
        <v>400</v>
      </c>
      <c r="D257" s="74" t="n">
        <v>150</v>
      </c>
      <c r="E257" s="74" t="n">
        <v>10</v>
      </c>
      <c r="F257" s="74" t="n">
        <v>18</v>
      </c>
      <c r="G257" s="74" t="s">
        <v>706</v>
      </c>
      <c r="H257" s="74" t="n">
        <v>9170</v>
      </c>
      <c r="I257" s="74" t="n">
        <v>72</v>
      </c>
      <c r="J257" s="74" t="n">
        <v>241000000</v>
      </c>
      <c r="K257" s="74" t="n">
        <v>1200000</v>
      </c>
      <c r="L257" s="74" t="n">
        <v>3640</v>
      </c>
      <c r="M257" s="77" t="s">
        <v>681</v>
      </c>
      <c r="N257" s="77" t="s">
        <v>682</v>
      </c>
      <c r="O257" s="1" t="n">
        <f aca="false">(2*F257*D257^3+(C257-2*F257)*E257^3)/12</f>
        <v>10155333.3333333</v>
      </c>
      <c r="P257" s="1" t="n">
        <f aca="false">IFERROR(SQRT(J257/H257),"")</f>
        <v>162.115243686554</v>
      </c>
      <c r="Q257" s="1" t="n">
        <f aca="false">IFERROR(SQRT(O257/H257),"")</f>
        <v>33.278398935287</v>
      </c>
    </row>
    <row r="258" customFormat="false" ht="32.25" hidden="false" customHeight="true" outlineLevel="0" collapsed="false">
      <c r="A258" s="74" t="s">
        <v>707</v>
      </c>
      <c r="B258" s="74" t="s">
        <v>679</v>
      </c>
      <c r="C258" s="74" t="n">
        <v>400</v>
      </c>
      <c r="D258" s="74" t="n">
        <v>150</v>
      </c>
      <c r="E258" s="74" t="n">
        <v>12.5</v>
      </c>
      <c r="F258" s="74" t="n">
        <v>25</v>
      </c>
      <c r="G258" s="74" t="s">
        <v>708</v>
      </c>
      <c r="H258" s="74" t="n">
        <v>12200</v>
      </c>
      <c r="I258" s="74" t="n">
        <v>95.8</v>
      </c>
      <c r="J258" s="74" t="n">
        <v>317000000</v>
      </c>
      <c r="K258" s="74" t="n">
        <v>1580000</v>
      </c>
      <c r="L258" s="74" t="n">
        <v>4375</v>
      </c>
      <c r="M258" s="77" t="s">
        <v>681</v>
      </c>
      <c r="N258" s="77" t="s">
        <v>682</v>
      </c>
      <c r="O258" s="1" t="n">
        <f aca="false">(2*F258*D258^3+(C258-2*F258)*E258^3)/12</f>
        <v>14119466.1458333</v>
      </c>
      <c r="P258" s="1" t="n">
        <f aca="false">IFERROR(SQRT(J258/H258),"")</f>
        <v>161.194313042914</v>
      </c>
      <c r="Q258" s="1" t="n">
        <f aca="false">IFERROR(SQRT(O258/H258),"")</f>
        <v>34.0196015650107</v>
      </c>
    </row>
    <row r="259" customFormat="false" ht="32.25" hidden="false" customHeight="true" outlineLevel="0" collapsed="false">
      <c r="A259" s="74" t="s">
        <v>709</v>
      </c>
      <c r="B259" s="74" t="s">
        <v>679</v>
      </c>
      <c r="C259" s="74" t="n">
        <v>450</v>
      </c>
      <c r="D259" s="74" t="n">
        <v>175</v>
      </c>
      <c r="E259" s="74" t="n">
        <v>11</v>
      </c>
      <c r="F259" s="74" t="n">
        <v>20</v>
      </c>
      <c r="G259" s="74" t="s">
        <v>699</v>
      </c>
      <c r="H259" s="74" t="n">
        <v>11700</v>
      </c>
      <c r="I259" s="74" t="n">
        <v>91.7</v>
      </c>
      <c r="J259" s="74" t="n">
        <v>392000000</v>
      </c>
      <c r="K259" s="74" t="n">
        <v>1740000</v>
      </c>
      <c r="L259" s="74" t="n">
        <v>4510</v>
      </c>
      <c r="M259" s="77" t="s">
        <v>681</v>
      </c>
      <c r="N259" s="77" t="s">
        <v>682</v>
      </c>
      <c r="O259" s="1" t="n">
        <f aca="false">(2*F259*D259^3+(C259-2*F259)*E259^3)/12</f>
        <v>17910059.1666667</v>
      </c>
      <c r="P259" s="1" t="n">
        <f aca="false">IFERROR(SQRT(J259/H259),"")</f>
        <v>183.041726128972</v>
      </c>
      <c r="Q259" s="1" t="n">
        <f aca="false">IFERROR(SQRT(O259/H259),"")</f>
        <v>39.1251107059046</v>
      </c>
    </row>
    <row r="260" customFormat="false" ht="32.25" hidden="false" customHeight="true" outlineLevel="0" collapsed="false">
      <c r="A260" s="74" t="s">
        <v>710</v>
      </c>
      <c r="B260" s="74" t="s">
        <v>679</v>
      </c>
      <c r="C260" s="74" t="n">
        <v>450</v>
      </c>
      <c r="D260" s="74" t="n">
        <v>175</v>
      </c>
      <c r="E260" s="74" t="n">
        <v>13</v>
      </c>
      <c r="F260" s="74" t="n">
        <v>26</v>
      </c>
      <c r="G260" s="74" t="s">
        <v>708</v>
      </c>
      <c r="H260" s="74" t="n">
        <v>14600</v>
      </c>
      <c r="I260" s="74" t="n">
        <v>115</v>
      </c>
      <c r="J260" s="74" t="n">
        <v>488000000</v>
      </c>
      <c r="K260" s="74" t="n">
        <v>2170000</v>
      </c>
      <c r="L260" s="74" t="n">
        <v>5174</v>
      </c>
      <c r="M260" s="77" t="s">
        <v>681</v>
      </c>
      <c r="N260" s="77" t="s">
        <v>682</v>
      </c>
      <c r="O260" s="1" t="n">
        <f aca="false">(2*F260*D260^3+(C260-2*F260)*E260^3)/12</f>
        <v>23296825.5</v>
      </c>
      <c r="P260" s="1" t="n">
        <f aca="false">IFERROR(SQRT(J260/H260),"")</f>
        <v>182.824116391264</v>
      </c>
      <c r="Q260" s="1" t="n">
        <f aca="false">IFERROR(SQRT(O260/H260),"")</f>
        <v>39.9458756250511</v>
      </c>
    </row>
    <row r="261" customFormat="false" ht="32.25" hidden="false" customHeight="true" outlineLevel="0" collapsed="false">
      <c r="A261" s="74" t="s">
        <v>711</v>
      </c>
      <c r="B261" s="74" t="s">
        <v>679</v>
      </c>
      <c r="C261" s="74" t="n">
        <v>600</v>
      </c>
      <c r="D261" s="74" t="n">
        <v>190</v>
      </c>
      <c r="E261" s="74" t="n">
        <v>13</v>
      </c>
      <c r="F261" s="74" t="n">
        <v>25</v>
      </c>
      <c r="G261" s="74" t="s">
        <v>704</v>
      </c>
      <c r="H261" s="74" t="n">
        <v>16900</v>
      </c>
      <c r="I261" s="74" t="n">
        <v>133</v>
      </c>
      <c r="J261" s="74" t="n">
        <v>984000000</v>
      </c>
      <c r="K261" s="74" t="n">
        <v>3280000</v>
      </c>
      <c r="L261" s="74" t="n">
        <v>7150</v>
      </c>
      <c r="M261" s="77" t="s">
        <v>681</v>
      </c>
      <c r="N261" s="77" t="s">
        <v>682</v>
      </c>
      <c r="O261" s="1" t="n">
        <f aca="false">(2*F261*D261^3+(C261-2*F261)*E261^3)/12</f>
        <v>28679862.5</v>
      </c>
      <c r="P261" s="1" t="n">
        <f aca="false">IFERROR(SQRT(J261/H261),"")</f>
        <v>241.298263713202</v>
      </c>
      <c r="Q261" s="1" t="n">
        <f aca="false">IFERROR(SQRT(O261/H261),"")</f>
        <v>41.1950638307998</v>
      </c>
    </row>
    <row r="262" customFormat="false" ht="32.25" hidden="false" customHeight="true" outlineLevel="0" collapsed="false">
      <c r="A262" s="74" t="s">
        <v>712</v>
      </c>
      <c r="B262" s="74" t="s">
        <v>679</v>
      </c>
      <c r="C262" s="74" t="n">
        <v>600</v>
      </c>
      <c r="D262" s="74" t="n">
        <v>190</v>
      </c>
      <c r="E262" s="74" t="n">
        <v>16</v>
      </c>
      <c r="F262" s="74" t="n">
        <v>35</v>
      </c>
      <c r="G262" s="74" t="s">
        <v>713</v>
      </c>
      <c r="H262" s="74" t="n">
        <v>22500</v>
      </c>
      <c r="I262" s="74" t="n">
        <v>176</v>
      </c>
      <c r="J262" s="74" t="n">
        <v>1300000000</v>
      </c>
      <c r="K262" s="74" t="n">
        <v>4330000</v>
      </c>
      <c r="L262" s="74" t="n">
        <v>8480</v>
      </c>
      <c r="M262" s="77" t="s">
        <v>681</v>
      </c>
      <c r="N262" s="77" t="s">
        <v>682</v>
      </c>
      <c r="O262" s="1" t="n">
        <f aca="false">(2*F262*D262^3+(C262-2*F262)*E262^3)/12</f>
        <v>40191740</v>
      </c>
      <c r="P262" s="1" t="n">
        <f aca="false">IFERROR(SQRT(J262/H262),"")</f>
        <v>240.370085030933</v>
      </c>
      <c r="Q262" s="1" t="n">
        <f aca="false">IFERROR(SQRT(O262/H262),"")</f>
        <v>42.2646371752504</v>
      </c>
    </row>
    <row r="263" customFormat="false" ht="15" hidden="false" customHeight="true" outlineLevel="0" collapsed="false">
      <c r="A263" s="1" t="s">
        <v>714</v>
      </c>
      <c r="B263" s="1" t="s">
        <v>431</v>
      </c>
      <c r="C263" s="1" t="n">
        <v>100</v>
      </c>
      <c r="D263" s="1" t="n">
        <v>100</v>
      </c>
      <c r="E263" s="1" t="n">
        <v>3.2</v>
      </c>
      <c r="F263" s="1" t="n">
        <v>3.2</v>
      </c>
      <c r="G263" s="1" t="n">
        <v>0</v>
      </c>
      <c r="H263" s="1" t="n">
        <f aca="false">2*D263*F263+2*(C263-2*F263)*E263</f>
        <v>1239.04</v>
      </c>
      <c r="I263" s="1" t="n">
        <f aca="false">H263*DB_Settings!$G$5</f>
        <v>9.726464</v>
      </c>
      <c r="J263" s="1" t="n">
        <f aca="false">(D263*C263^3-(D263-2*E263)*(C263-2*F263)^3)/12</f>
        <v>1937131.65653334</v>
      </c>
      <c r="K263" s="1" t="n">
        <f aca="false">J263/(C263/2)</f>
        <v>38742.6331306667</v>
      </c>
      <c r="L263" s="1" t="n">
        <f aca="false">2*E263*(C263-2*F263)</f>
        <v>599.04</v>
      </c>
      <c r="M263" s="42" t="s">
        <v>715</v>
      </c>
      <c r="O263" s="1" t="n">
        <f aca="false">(C263*D263^3-(C263-2*E263)*(D263-2*F263)^3)/12</f>
        <v>1937131.65653334</v>
      </c>
      <c r="P263" s="1" t="n">
        <f aca="false">IFERROR(SQRT(J263/H263),"")</f>
        <v>39.540021918726</v>
      </c>
      <c r="Q263" s="1" t="n">
        <f aca="false">IFERROR(SQRT(O263/H263),"")</f>
        <v>39.540021918726</v>
      </c>
    </row>
    <row r="264" customFormat="false" ht="15" hidden="false" customHeight="true" outlineLevel="0" collapsed="false">
      <c r="A264" s="1" t="s">
        <v>716</v>
      </c>
      <c r="B264" s="1" t="s">
        <v>431</v>
      </c>
      <c r="C264" s="1" t="n">
        <v>100</v>
      </c>
      <c r="D264" s="1" t="n">
        <v>100</v>
      </c>
      <c r="E264" s="1" t="n">
        <v>4.5</v>
      </c>
      <c r="F264" s="1" t="n">
        <v>4.5</v>
      </c>
      <c r="G264" s="1" t="n">
        <v>0</v>
      </c>
      <c r="H264" s="1" t="n">
        <f aca="false">2*D264*F264+2*(C264-2*F264)*E264</f>
        <v>1719</v>
      </c>
      <c r="I264" s="1" t="n">
        <f aca="false">H264*DB_Settings!$G$5</f>
        <v>13.49415</v>
      </c>
      <c r="J264" s="1" t="n">
        <f aca="false">(D264*C264^3-(D264-2*E264)*(C264-2*F264)^3)/12</f>
        <v>2618753.25</v>
      </c>
      <c r="K264" s="1" t="n">
        <f aca="false">J264/(C264/2)</f>
        <v>52375.065</v>
      </c>
      <c r="L264" s="1" t="n">
        <f aca="false">2*E264*(C264-2*F264)</f>
        <v>819</v>
      </c>
      <c r="M264" s="42" t="s">
        <v>715</v>
      </c>
      <c r="O264" s="1" t="n">
        <f aca="false">(C264*D264^3-(C264-2*E264)*(D264-2*F264)^3)/12</f>
        <v>2618753.25</v>
      </c>
      <c r="P264" s="1" t="n">
        <f aca="false">IFERROR(SQRT(J264/H264),"")</f>
        <v>39.0309706088212</v>
      </c>
      <c r="Q264" s="1" t="n">
        <f aca="false">IFERROR(SQRT(O264/H264),"")</f>
        <v>39.0309706088212</v>
      </c>
    </row>
    <row r="265" customFormat="false" ht="15" hidden="false" customHeight="true" outlineLevel="0" collapsed="false">
      <c r="A265" s="1" t="s">
        <v>717</v>
      </c>
      <c r="B265" s="1" t="s">
        <v>431</v>
      </c>
      <c r="C265" s="1" t="n">
        <v>100</v>
      </c>
      <c r="D265" s="1" t="n">
        <v>100</v>
      </c>
      <c r="E265" s="1" t="n">
        <v>6</v>
      </c>
      <c r="F265" s="1" t="n">
        <v>6</v>
      </c>
      <c r="G265" s="1" t="n">
        <v>0</v>
      </c>
      <c r="H265" s="1" t="n">
        <f aca="false">2*D265*F265+2*(C265-2*F265)*E265</f>
        <v>2256</v>
      </c>
      <c r="I265" s="1" t="n">
        <f aca="false">H265*DB_Settings!$G$5</f>
        <v>17.7096</v>
      </c>
      <c r="J265" s="1" t="n">
        <f aca="false">(D265*C265^3-(D265-2*E265)*(C265-2*F265)^3)/12</f>
        <v>3335872</v>
      </c>
      <c r="K265" s="1" t="n">
        <f aca="false">J265/(C265/2)</f>
        <v>66717.44</v>
      </c>
      <c r="L265" s="1" t="n">
        <f aca="false">2*E265*(C265-2*F265)</f>
        <v>1056</v>
      </c>
      <c r="M265" s="42" t="s">
        <v>715</v>
      </c>
      <c r="O265" s="1" t="n">
        <f aca="false">(C265*D265^3-(C265-2*E265)*(D265-2*F265)^3)/12</f>
        <v>3335872</v>
      </c>
      <c r="P265" s="1" t="n">
        <f aca="false">IFERROR(SQRT(J265/H265),"")</f>
        <v>38.453435043786</v>
      </c>
      <c r="Q265" s="1" t="n">
        <f aca="false">IFERROR(SQRT(O265/H265),"")</f>
        <v>38.453435043786</v>
      </c>
    </row>
    <row r="266" customFormat="false" ht="15" hidden="false" customHeight="true" outlineLevel="0" collapsed="false">
      <c r="A266" s="1" t="s">
        <v>718</v>
      </c>
      <c r="B266" s="1" t="s">
        <v>431</v>
      </c>
      <c r="C266" s="1" t="n">
        <v>125</v>
      </c>
      <c r="D266" s="1" t="n">
        <v>125</v>
      </c>
      <c r="E266" s="1" t="n">
        <v>3.2</v>
      </c>
      <c r="F266" s="1" t="n">
        <v>3.2</v>
      </c>
      <c r="G266" s="1" t="n">
        <v>0</v>
      </c>
      <c r="H266" s="1" t="n">
        <f aca="false">2*D266*F266+2*(C266-2*F266)*E266</f>
        <v>1559.04</v>
      </c>
      <c r="I266" s="1" t="n">
        <f aca="false">H266*DB_Settings!$G$5</f>
        <v>12.238464</v>
      </c>
      <c r="J266" s="1" t="n">
        <f aca="false">(D266*C266^3-(D266-2*E266)*(C266-2*F266)^3)/12</f>
        <v>3857449.5232</v>
      </c>
      <c r="K266" s="1" t="n">
        <f aca="false">J266/(C266/2)</f>
        <v>61719.1923712001</v>
      </c>
      <c r="L266" s="1" t="n">
        <f aca="false">2*E266*(C266-2*F266)</f>
        <v>759.04</v>
      </c>
      <c r="M266" s="42" t="s">
        <v>715</v>
      </c>
      <c r="O266" s="1" t="n">
        <f aca="false">(C266*D266^3-(C266-2*E266)*(D266-2*F266)^3)/12</f>
        <v>3857449.5232</v>
      </c>
      <c r="P266" s="1" t="n">
        <f aca="false">IFERROR(SQRT(J266/H266),"")</f>
        <v>49.7417999942369</v>
      </c>
      <c r="Q266" s="1" t="n">
        <f aca="false">IFERROR(SQRT(O266/H266),"")</f>
        <v>49.7417999942369</v>
      </c>
    </row>
    <row r="267" customFormat="false" ht="15" hidden="false" customHeight="true" outlineLevel="0" collapsed="false">
      <c r="A267" s="1" t="s">
        <v>719</v>
      </c>
      <c r="B267" s="1" t="s">
        <v>431</v>
      </c>
      <c r="C267" s="1" t="n">
        <v>125</v>
      </c>
      <c r="D267" s="1" t="n">
        <v>125</v>
      </c>
      <c r="E267" s="1" t="n">
        <v>4.5</v>
      </c>
      <c r="F267" s="1" t="n">
        <v>4.5</v>
      </c>
      <c r="G267" s="1" t="n">
        <v>0</v>
      </c>
      <c r="H267" s="1" t="n">
        <f aca="false">2*D267*F267+2*(C267-2*F267)*E267</f>
        <v>2169</v>
      </c>
      <c r="I267" s="1" t="n">
        <f aca="false">H267*DB_Settings!$G$5</f>
        <v>17.02665</v>
      </c>
      <c r="J267" s="1" t="n">
        <f aca="false">(D267*C267^3-(D267-2*E267)*(C267-2*F267)^3)/12</f>
        <v>5256390.75</v>
      </c>
      <c r="K267" s="1" t="n">
        <f aca="false">J267/(C267/2)</f>
        <v>84102.252</v>
      </c>
      <c r="L267" s="1" t="n">
        <f aca="false">2*E267*(C267-2*F267)</f>
        <v>1044</v>
      </c>
      <c r="M267" s="42" t="s">
        <v>715</v>
      </c>
      <c r="O267" s="1" t="n">
        <f aca="false">(C267*D267^3-(C267-2*E267)*(D267-2*F267)^3)/12</f>
        <v>5256390.75</v>
      </c>
      <c r="P267" s="1" t="n">
        <f aca="false">IFERROR(SQRT(J267/H267),"")</f>
        <v>49.2282100697016</v>
      </c>
      <c r="Q267" s="1" t="n">
        <f aca="false">IFERROR(SQRT(O267/H267),"")</f>
        <v>49.2282100697016</v>
      </c>
    </row>
    <row r="268" customFormat="false" ht="15" hidden="false" customHeight="true" outlineLevel="0" collapsed="false">
      <c r="A268" s="1" t="s">
        <v>720</v>
      </c>
      <c r="B268" s="1" t="s">
        <v>431</v>
      </c>
      <c r="C268" s="1" t="n">
        <v>125</v>
      </c>
      <c r="D268" s="1" t="n">
        <v>125</v>
      </c>
      <c r="E268" s="1" t="n">
        <v>6</v>
      </c>
      <c r="F268" s="1" t="n">
        <v>6</v>
      </c>
      <c r="G268" s="1" t="n">
        <v>0</v>
      </c>
      <c r="H268" s="1" t="n">
        <f aca="false">2*D268*F268+2*(C268-2*F268)*E268</f>
        <v>2856</v>
      </c>
      <c r="I268" s="1" t="n">
        <f aca="false">H268*DB_Settings!$G$5</f>
        <v>22.4196</v>
      </c>
      <c r="J268" s="1" t="n">
        <f aca="false">(D268*C268^3-(D268-2*E268)*(C268-2*F268)^3)/12</f>
        <v>6757772</v>
      </c>
      <c r="K268" s="1" t="n">
        <f aca="false">J268/(C268/2)</f>
        <v>108124.352</v>
      </c>
      <c r="L268" s="1" t="n">
        <f aca="false">2*E268*(C268-2*F268)</f>
        <v>1356</v>
      </c>
      <c r="M268" s="42" t="s">
        <v>715</v>
      </c>
      <c r="O268" s="1" t="n">
        <f aca="false">(C268*D268^3-(C268-2*E268)*(D268-2*F268)^3)/12</f>
        <v>6757772</v>
      </c>
      <c r="P268" s="1" t="n">
        <f aca="false">IFERROR(SQRT(J268/H268),"")</f>
        <v>48.6432592109808</v>
      </c>
      <c r="Q268" s="1" t="n">
        <f aca="false">IFERROR(SQRT(O268/H268),"")</f>
        <v>48.6432592109808</v>
      </c>
    </row>
    <row r="269" customFormat="false" ht="15" hidden="false" customHeight="true" outlineLevel="0" collapsed="false">
      <c r="A269" s="1" t="s">
        <v>721</v>
      </c>
      <c r="B269" s="1" t="s">
        <v>431</v>
      </c>
      <c r="C269" s="1" t="n">
        <v>150</v>
      </c>
      <c r="D269" s="1" t="n">
        <v>150</v>
      </c>
      <c r="E269" s="1" t="n">
        <v>3.2</v>
      </c>
      <c r="F269" s="1" t="n">
        <v>3.2</v>
      </c>
      <c r="G269" s="1" t="n">
        <v>0</v>
      </c>
      <c r="H269" s="1" t="n">
        <f aca="false">2*D269*F269+2*(C269-2*F269)*E269</f>
        <v>1879.04</v>
      </c>
      <c r="I269" s="1" t="n">
        <f aca="false">H269*DB_Settings!$G$5</f>
        <v>14.750464</v>
      </c>
      <c r="J269" s="1" t="n">
        <f aca="false">(D269*C269^3-(D269-2*E269)*(C269-2*F269)^3)/12</f>
        <v>6752167.38986667</v>
      </c>
      <c r="K269" s="1" t="n">
        <f aca="false">J269/(C269/2)</f>
        <v>90028.8985315556</v>
      </c>
      <c r="L269" s="1" t="n">
        <f aca="false">2*E269*(C269-2*F269)</f>
        <v>919.04</v>
      </c>
      <c r="M269" s="42" t="s">
        <v>715</v>
      </c>
      <c r="O269" s="1" t="n">
        <f aca="false">(C269*D269^3-(C269-2*E269)*(D269-2*F269)^3)/12</f>
        <v>6752167.38986667</v>
      </c>
      <c r="P269" s="1" t="n">
        <f aca="false">IFERROR(SQRT(J269/H269),"")</f>
        <v>59.9450859815326</v>
      </c>
      <c r="Q269" s="1" t="n">
        <f aca="false">IFERROR(SQRT(O269/H269),"")</f>
        <v>59.9450859815326</v>
      </c>
    </row>
    <row r="270" customFormat="false" ht="15" hidden="false" customHeight="true" outlineLevel="0" collapsed="false">
      <c r="A270" s="1" t="s">
        <v>722</v>
      </c>
      <c r="B270" s="1" t="s">
        <v>431</v>
      </c>
      <c r="C270" s="1" t="n">
        <v>150</v>
      </c>
      <c r="D270" s="1" t="n">
        <v>150</v>
      </c>
      <c r="E270" s="1" t="n">
        <v>4.5</v>
      </c>
      <c r="F270" s="1" t="n">
        <v>4.5</v>
      </c>
      <c r="G270" s="1" t="n">
        <v>0</v>
      </c>
      <c r="H270" s="1" t="n">
        <f aca="false">2*D270*F270+2*(C270-2*F270)*E270</f>
        <v>2619</v>
      </c>
      <c r="I270" s="1" t="n">
        <f aca="false">H270*DB_Settings!$G$5</f>
        <v>20.55915</v>
      </c>
      <c r="J270" s="1" t="n">
        <f aca="false">(D270*C270^3-(D270-2*E270)*(C270-2*F270)^3)/12</f>
        <v>9249653.25</v>
      </c>
      <c r="K270" s="1" t="n">
        <f aca="false">J270/(C270/2)</f>
        <v>123328.71</v>
      </c>
      <c r="L270" s="1" t="n">
        <f aca="false">2*E270*(C270-2*F270)</f>
        <v>1269</v>
      </c>
      <c r="M270" s="42" t="s">
        <v>715</v>
      </c>
      <c r="O270" s="1" t="n">
        <f aca="false">(C270*D270^3-(C270-2*E270)*(D270-2*F270)^3)/12</f>
        <v>9249653.25</v>
      </c>
      <c r="P270" s="1" t="n">
        <f aca="false">IFERROR(SQRT(J270/H270),"")</f>
        <v>59.4285285027318</v>
      </c>
      <c r="Q270" s="1" t="n">
        <f aca="false">IFERROR(SQRT(O270/H270),"")</f>
        <v>59.4285285027318</v>
      </c>
    </row>
    <row r="271" customFormat="false" ht="15" hidden="false" customHeight="true" outlineLevel="0" collapsed="false">
      <c r="A271" s="1" t="s">
        <v>723</v>
      </c>
      <c r="B271" s="1" t="s">
        <v>431</v>
      </c>
      <c r="C271" s="1" t="n">
        <v>150</v>
      </c>
      <c r="D271" s="1" t="n">
        <v>150</v>
      </c>
      <c r="E271" s="1" t="n">
        <v>6</v>
      </c>
      <c r="F271" s="1" t="n">
        <v>6</v>
      </c>
      <c r="G271" s="1" t="n">
        <v>0</v>
      </c>
      <c r="H271" s="1" t="n">
        <f aca="false">2*D271*F271+2*(C271-2*F271)*E271</f>
        <v>3456</v>
      </c>
      <c r="I271" s="1" t="n">
        <f aca="false">H271*DB_Settings!$G$5</f>
        <v>27.1296</v>
      </c>
      <c r="J271" s="1" t="n">
        <f aca="false">(D271*C271^3-(D271-2*E271)*(C271-2*F271)^3)/12</f>
        <v>11964672</v>
      </c>
      <c r="K271" s="1" t="n">
        <f aca="false">J271/(C271/2)</f>
        <v>159528.96</v>
      </c>
      <c r="L271" s="1" t="n">
        <f aca="false">2*E271*(C271-2*F271)</f>
        <v>1656</v>
      </c>
      <c r="M271" s="42" t="s">
        <v>715</v>
      </c>
      <c r="O271" s="1" t="n">
        <f aca="false">(C271*D271^3-(C271-2*E271)*(D271-2*F271)^3)/12</f>
        <v>11964672</v>
      </c>
      <c r="P271" s="1" t="n">
        <f aca="false">IFERROR(SQRT(J271/H271),"")</f>
        <v>58.8387627334226</v>
      </c>
      <c r="Q271" s="1" t="n">
        <f aca="false">IFERROR(SQRT(O271/H271),"")</f>
        <v>58.8387627334226</v>
      </c>
    </row>
    <row r="272" customFormat="false" ht="15" hidden="false" customHeight="true" outlineLevel="0" collapsed="false">
      <c r="A272" s="1" t="s">
        <v>724</v>
      </c>
      <c r="B272" s="1" t="s">
        <v>431</v>
      </c>
      <c r="C272" s="1" t="n">
        <v>150</v>
      </c>
      <c r="D272" s="1" t="n">
        <v>150</v>
      </c>
      <c r="E272" s="1" t="n">
        <v>9</v>
      </c>
      <c r="F272" s="1" t="n">
        <v>9</v>
      </c>
      <c r="G272" s="1" t="n">
        <v>0</v>
      </c>
      <c r="H272" s="1" t="n">
        <f aca="false">2*D272*F272+2*(C272-2*F272)*E272</f>
        <v>5076</v>
      </c>
      <c r="I272" s="1" t="n">
        <f aca="false">H272*DB_Settings!$G$5</f>
        <v>39.8466</v>
      </c>
      <c r="J272" s="1" t="n">
        <f aca="false">(D272*C272^3-(D272-2*E272)*(C272-2*F272)^3)/12</f>
        <v>16887852</v>
      </c>
      <c r="K272" s="1" t="n">
        <f aca="false">J272/(C272/2)</f>
        <v>225171.36</v>
      </c>
      <c r="L272" s="1" t="n">
        <f aca="false">2*E272*(C272-2*F272)</f>
        <v>2376</v>
      </c>
      <c r="M272" s="42" t="s">
        <v>715</v>
      </c>
      <c r="O272" s="1" t="n">
        <f aca="false">(C272*D272^3-(C272-2*E272)*(D272-2*F272)^3)/12</f>
        <v>16887852</v>
      </c>
      <c r="P272" s="1" t="n">
        <f aca="false">IFERROR(SQRT(J272/H272),"")</f>
        <v>57.680152565679</v>
      </c>
      <c r="Q272" s="1" t="n">
        <f aca="false">IFERROR(SQRT(O272/H272),"")</f>
        <v>57.680152565679</v>
      </c>
    </row>
    <row r="273" customFormat="false" ht="15" hidden="false" customHeight="true" outlineLevel="0" collapsed="false">
      <c r="A273" s="1" t="s">
        <v>725</v>
      </c>
      <c r="B273" s="1" t="s">
        <v>431</v>
      </c>
      <c r="C273" s="1" t="n">
        <v>175</v>
      </c>
      <c r="D273" s="1" t="n">
        <v>175</v>
      </c>
      <c r="E273" s="1" t="n">
        <v>4.5</v>
      </c>
      <c r="F273" s="1" t="n">
        <v>4.5</v>
      </c>
      <c r="G273" s="1" t="n">
        <v>0</v>
      </c>
      <c r="H273" s="1" t="n">
        <f aca="false">2*D273*F273+2*(C273-2*F273)*E273</f>
        <v>3069</v>
      </c>
      <c r="I273" s="1" t="n">
        <f aca="false">H273*DB_Settings!$G$5</f>
        <v>24.09165</v>
      </c>
      <c r="J273" s="1" t="n">
        <f aca="false">(D273*C273^3-(D273-2*E273)*(C273-2*F273)^3)/12</f>
        <v>14879790.75</v>
      </c>
      <c r="K273" s="1" t="n">
        <f aca="false">J273/(C273/2)</f>
        <v>170054.751428571</v>
      </c>
      <c r="L273" s="1" t="n">
        <f aca="false">2*E273*(C273-2*F273)</f>
        <v>1494</v>
      </c>
      <c r="M273" s="42" t="s">
        <v>715</v>
      </c>
      <c r="O273" s="1" t="n">
        <f aca="false">(C273*D273^3-(C273-2*E273)*(D273-2*F273)^3)/12</f>
        <v>14879790.75</v>
      </c>
      <c r="P273" s="1" t="n">
        <f aca="false">IFERROR(SQRT(J273/H273),"")</f>
        <v>69.6305727871505</v>
      </c>
      <c r="Q273" s="1" t="n">
        <f aca="false">IFERROR(SQRT(O273/H273),"")</f>
        <v>69.6305727871505</v>
      </c>
    </row>
    <row r="274" customFormat="false" ht="15" hidden="false" customHeight="true" outlineLevel="0" collapsed="false">
      <c r="A274" s="1" t="s">
        <v>726</v>
      </c>
      <c r="B274" s="1" t="s">
        <v>431</v>
      </c>
      <c r="C274" s="1" t="n">
        <v>175</v>
      </c>
      <c r="D274" s="1" t="n">
        <v>175</v>
      </c>
      <c r="E274" s="1" t="n">
        <v>6</v>
      </c>
      <c r="F274" s="1" t="n">
        <v>6</v>
      </c>
      <c r="G274" s="1" t="n">
        <v>0</v>
      </c>
      <c r="H274" s="1" t="n">
        <f aca="false">2*D274*F274+2*(C274-2*F274)*E274</f>
        <v>4056</v>
      </c>
      <c r="I274" s="1" t="n">
        <f aca="false">H274*DB_Settings!$G$5</f>
        <v>31.8396</v>
      </c>
      <c r="J274" s="1" t="n">
        <f aca="false">(D274*C274^3-(D274-2*E274)*(C274-2*F274)^3)/12</f>
        <v>19331572</v>
      </c>
      <c r="K274" s="1" t="n">
        <f aca="false">J274/(C274/2)</f>
        <v>220932.251428571</v>
      </c>
      <c r="L274" s="1" t="n">
        <f aca="false">2*E274*(C274-2*F274)</f>
        <v>1956</v>
      </c>
      <c r="M274" s="42" t="s">
        <v>715</v>
      </c>
      <c r="O274" s="1" t="n">
        <f aca="false">(C274*D274^3-(C274-2*E274)*(D274-2*F274)^3)/12</f>
        <v>19331572</v>
      </c>
      <c r="P274" s="1" t="n">
        <f aca="false">IFERROR(SQRT(J274/H274),"")</f>
        <v>69.0374294616092</v>
      </c>
      <c r="Q274" s="1" t="n">
        <f aca="false">IFERROR(SQRT(O274/H274),"")</f>
        <v>69.0374294616092</v>
      </c>
    </row>
    <row r="275" customFormat="false" ht="15" hidden="false" customHeight="true" outlineLevel="0" collapsed="false">
      <c r="A275" s="1" t="s">
        <v>727</v>
      </c>
      <c r="B275" s="1" t="s">
        <v>431</v>
      </c>
      <c r="C275" s="1" t="n">
        <v>175</v>
      </c>
      <c r="D275" s="1" t="n">
        <v>175</v>
      </c>
      <c r="E275" s="1" t="n">
        <v>9</v>
      </c>
      <c r="F275" s="1" t="n">
        <v>9</v>
      </c>
      <c r="G275" s="1" t="n">
        <v>0</v>
      </c>
      <c r="H275" s="1" t="n">
        <f aca="false">2*D275*F275+2*(C275-2*F275)*E275</f>
        <v>5976</v>
      </c>
      <c r="I275" s="1" t="n">
        <f aca="false">H275*DB_Settings!$G$5</f>
        <v>46.9116</v>
      </c>
      <c r="J275" s="1" t="n">
        <f aca="false">(D275*C275^3-(D275-2*E275)*(C275-2*F275)^3)/12</f>
        <v>27526452</v>
      </c>
      <c r="K275" s="1" t="n">
        <f aca="false">J275/(C275/2)</f>
        <v>314588.022857143</v>
      </c>
      <c r="L275" s="1" t="n">
        <f aca="false">2*E275*(C275-2*F275)</f>
        <v>2826</v>
      </c>
      <c r="M275" s="42" t="s">
        <v>715</v>
      </c>
      <c r="O275" s="1" t="n">
        <f aca="false">(C275*D275^3-(C275-2*E275)*(D275-2*F275)^3)/12</f>
        <v>27526452</v>
      </c>
      <c r="P275" s="1" t="n">
        <f aca="false">IFERROR(SQRT(J275/H275),"")</f>
        <v>67.8687458751572</v>
      </c>
      <c r="Q275" s="1" t="n">
        <f aca="false">IFERROR(SQRT(O275/H275),"")</f>
        <v>67.8687458751572</v>
      </c>
    </row>
    <row r="276" customFormat="false" ht="15" hidden="false" customHeight="true" outlineLevel="0" collapsed="false">
      <c r="A276" s="1" t="s">
        <v>728</v>
      </c>
      <c r="B276" s="1" t="s">
        <v>431</v>
      </c>
      <c r="C276" s="1" t="n">
        <v>200</v>
      </c>
      <c r="D276" s="1" t="n">
        <v>200</v>
      </c>
      <c r="E276" s="1" t="n">
        <v>6</v>
      </c>
      <c r="F276" s="1" t="n">
        <v>6</v>
      </c>
      <c r="G276" s="1" t="n">
        <v>0</v>
      </c>
      <c r="H276" s="1" t="n">
        <f aca="false">2*D276*F276+2*(C276-2*F276)*E276</f>
        <v>4656</v>
      </c>
      <c r="I276" s="1" t="n">
        <f aca="false">H276*DB_Settings!$G$5</f>
        <v>36.5496</v>
      </c>
      <c r="J276" s="1" t="n">
        <f aca="false">(D276*C276^3-(D276-2*E276)*(C276-2*F276)^3)/12</f>
        <v>29233472</v>
      </c>
      <c r="K276" s="1" t="n">
        <f aca="false">J276/(C276/2)</f>
        <v>292334.72</v>
      </c>
      <c r="L276" s="1" t="n">
        <f aca="false">2*E276*(C276-2*F276)</f>
        <v>2256</v>
      </c>
      <c r="M276" s="42" t="s">
        <v>715</v>
      </c>
      <c r="O276" s="1" t="n">
        <f aca="false">(C276*D276^3-(C276-2*E276)*(D276-2*F276)^3)/12</f>
        <v>29233472</v>
      </c>
      <c r="P276" s="1" t="n">
        <f aca="false">IFERROR(SQRT(J276/H276),"")</f>
        <v>79.2380380036423</v>
      </c>
      <c r="Q276" s="1" t="n">
        <f aca="false">IFERROR(SQRT(O276/H276),"")</f>
        <v>79.2380380036423</v>
      </c>
    </row>
    <row r="277" customFormat="false" ht="15" hidden="false" customHeight="true" outlineLevel="0" collapsed="false">
      <c r="A277" s="1" t="s">
        <v>729</v>
      </c>
      <c r="B277" s="1" t="s">
        <v>431</v>
      </c>
      <c r="C277" s="1" t="n">
        <v>200</v>
      </c>
      <c r="D277" s="1" t="n">
        <v>200</v>
      </c>
      <c r="E277" s="1" t="n">
        <v>8</v>
      </c>
      <c r="F277" s="1" t="n">
        <v>8</v>
      </c>
      <c r="G277" s="1" t="n">
        <v>0</v>
      </c>
      <c r="H277" s="1" t="n">
        <f aca="false">2*D277*F277+2*(C277-2*F277)*E277</f>
        <v>6144</v>
      </c>
      <c r="I277" s="1" t="n">
        <f aca="false">H277*DB_Settings!$G$5</f>
        <v>48.2304</v>
      </c>
      <c r="J277" s="1" t="n">
        <f aca="false">(D277*C277^3-(D277-2*E277)*(C277-2*F277)^3)/12</f>
        <v>37814272</v>
      </c>
      <c r="K277" s="1" t="n">
        <f aca="false">J277/(C277/2)</f>
        <v>378142.72</v>
      </c>
      <c r="L277" s="1" t="n">
        <f aca="false">2*E277*(C277-2*F277)</f>
        <v>2944</v>
      </c>
      <c r="M277" s="42" t="s">
        <v>715</v>
      </c>
      <c r="O277" s="1" t="n">
        <f aca="false">(C277*D277^3-(C277-2*E277)*(D277-2*F277)^3)/12</f>
        <v>37814272</v>
      </c>
      <c r="P277" s="1" t="n">
        <f aca="false">IFERROR(SQRT(J277/H277),"")</f>
        <v>78.4516836445635</v>
      </c>
      <c r="Q277" s="1" t="n">
        <f aca="false">IFERROR(SQRT(O277/H277),"")</f>
        <v>78.4516836445635</v>
      </c>
    </row>
    <row r="278" customFormat="false" ht="15" hidden="false" customHeight="true" outlineLevel="0" collapsed="false">
      <c r="A278" s="1" t="s">
        <v>730</v>
      </c>
      <c r="B278" s="1" t="s">
        <v>431</v>
      </c>
      <c r="C278" s="1" t="n">
        <v>200</v>
      </c>
      <c r="D278" s="1" t="n">
        <v>200</v>
      </c>
      <c r="E278" s="1" t="n">
        <v>9</v>
      </c>
      <c r="F278" s="1" t="n">
        <v>9</v>
      </c>
      <c r="G278" s="1" t="n">
        <v>0</v>
      </c>
      <c r="H278" s="1" t="n">
        <f aca="false">2*D278*F278+2*(C278-2*F278)*E278</f>
        <v>6876</v>
      </c>
      <c r="I278" s="1" t="n">
        <f aca="false">H278*DB_Settings!$G$5</f>
        <v>53.9766</v>
      </c>
      <c r="J278" s="1" t="n">
        <f aca="false">(D278*C278^3-(D278-2*E278)*(C278-2*F278)^3)/12</f>
        <v>41900052</v>
      </c>
      <c r="K278" s="1" t="n">
        <f aca="false">J278/(C278/2)</f>
        <v>419000.52</v>
      </c>
      <c r="L278" s="1" t="n">
        <f aca="false">2*E278*(C278-2*F278)</f>
        <v>3276</v>
      </c>
      <c r="M278" s="42" t="s">
        <v>715</v>
      </c>
      <c r="O278" s="1" t="n">
        <f aca="false">(C278*D278^3-(C278-2*E278)*(D278-2*F278)^3)/12</f>
        <v>41900052</v>
      </c>
      <c r="P278" s="1" t="n">
        <f aca="false">IFERROR(SQRT(J278/H278),"")</f>
        <v>78.0619412176425</v>
      </c>
      <c r="Q278" s="1" t="n">
        <f aca="false">IFERROR(SQRT(O278/H278),"")</f>
        <v>78.0619412176425</v>
      </c>
    </row>
    <row r="279" customFormat="false" ht="15" hidden="false" customHeight="true" outlineLevel="0" collapsed="false">
      <c r="A279" s="1" t="s">
        <v>731</v>
      </c>
      <c r="B279" s="1" t="s">
        <v>431</v>
      </c>
      <c r="C279" s="1" t="n">
        <v>200</v>
      </c>
      <c r="D279" s="1" t="n">
        <v>200</v>
      </c>
      <c r="E279" s="1" t="n">
        <v>12</v>
      </c>
      <c r="F279" s="1" t="n">
        <v>12</v>
      </c>
      <c r="G279" s="1" t="n">
        <v>0</v>
      </c>
      <c r="H279" s="1" t="n">
        <f aca="false">2*D279*F279+2*(C279-2*F279)*E279</f>
        <v>9024</v>
      </c>
      <c r="I279" s="1" t="n">
        <f aca="false">H279*DB_Settings!$G$5</f>
        <v>70.8384</v>
      </c>
      <c r="J279" s="1" t="n">
        <f aca="false">(D279*C279^3-(D279-2*E279)*(C279-2*F279)^3)/12</f>
        <v>53373952</v>
      </c>
      <c r="K279" s="1" t="n">
        <f aca="false">J279/(C279/2)</f>
        <v>533739.52</v>
      </c>
      <c r="L279" s="1" t="n">
        <f aca="false">2*E279*(C279-2*F279)</f>
        <v>4224</v>
      </c>
      <c r="M279" s="42" t="s">
        <v>715</v>
      </c>
      <c r="O279" s="1" t="n">
        <f aca="false">(C279*D279^3-(C279-2*E279)*(D279-2*F279)^3)/12</f>
        <v>53373952</v>
      </c>
      <c r="P279" s="1" t="n">
        <f aca="false">IFERROR(SQRT(J279/H279),"")</f>
        <v>76.9068700875719</v>
      </c>
      <c r="Q279" s="1" t="n">
        <f aca="false">IFERROR(SQRT(O279/H279),"")</f>
        <v>76.9068700875719</v>
      </c>
    </row>
    <row r="280" customFormat="false" ht="15" hidden="false" customHeight="true" outlineLevel="0" collapsed="false">
      <c r="A280" s="1" t="s">
        <v>732</v>
      </c>
      <c r="B280" s="1" t="s">
        <v>431</v>
      </c>
      <c r="C280" s="1" t="n">
        <v>250</v>
      </c>
      <c r="D280" s="1" t="n">
        <v>250</v>
      </c>
      <c r="E280" s="1" t="n">
        <v>6</v>
      </c>
      <c r="F280" s="1" t="n">
        <v>6</v>
      </c>
      <c r="G280" s="1" t="n">
        <v>0</v>
      </c>
      <c r="H280" s="1" t="n">
        <f aca="false">2*D280*F280+2*(C280-2*F280)*E280</f>
        <v>5856</v>
      </c>
      <c r="I280" s="1" t="n">
        <f aca="false">H280*DB_Settings!$G$5</f>
        <v>45.9696</v>
      </c>
      <c r="J280" s="1" t="n">
        <f aca="false">(D280*C280^3-(D280-2*E280)*(C280-2*F280)^3)/12</f>
        <v>58142272</v>
      </c>
      <c r="K280" s="1" t="n">
        <f aca="false">J280/(C280/2)</f>
        <v>465138.176</v>
      </c>
      <c r="L280" s="1" t="n">
        <f aca="false">2*E280*(C280-2*F280)</f>
        <v>2856</v>
      </c>
      <c r="M280" s="42" t="s">
        <v>715</v>
      </c>
      <c r="O280" s="1" t="n">
        <f aca="false">(C280*D280^3-(C280-2*E280)*(D280-2*F280)^3)/12</f>
        <v>58142272</v>
      </c>
      <c r="P280" s="1" t="n">
        <f aca="false">IFERROR(SQRT(J280/H280),"")</f>
        <v>99.6426949990147</v>
      </c>
      <c r="Q280" s="1" t="n">
        <f aca="false">IFERROR(SQRT(O280/H280),"")</f>
        <v>99.6426949990147</v>
      </c>
    </row>
    <row r="281" customFormat="false" ht="15" hidden="false" customHeight="true" outlineLevel="0" collapsed="false">
      <c r="A281" s="1" t="s">
        <v>733</v>
      </c>
      <c r="B281" s="1" t="s">
        <v>431</v>
      </c>
      <c r="C281" s="1" t="n">
        <v>250</v>
      </c>
      <c r="D281" s="1" t="n">
        <v>250</v>
      </c>
      <c r="E281" s="1" t="n">
        <v>9</v>
      </c>
      <c r="F281" s="1" t="n">
        <v>9</v>
      </c>
      <c r="G281" s="1" t="n">
        <v>0</v>
      </c>
      <c r="H281" s="1" t="n">
        <f aca="false">2*D281*F281+2*(C281-2*F281)*E281</f>
        <v>8676</v>
      </c>
      <c r="I281" s="1" t="n">
        <f aca="false">H281*DB_Settings!$G$5</f>
        <v>68.1066</v>
      </c>
      <c r="J281" s="1" t="n">
        <f aca="false">(D281*C281^3-(D281-2*E281)*(C281-2*F281)^3)/12</f>
        <v>84102252</v>
      </c>
      <c r="K281" s="1" t="n">
        <f aca="false">J281/(C281/2)</f>
        <v>672818.016</v>
      </c>
      <c r="L281" s="1" t="n">
        <f aca="false">2*E281*(C281-2*F281)</f>
        <v>4176</v>
      </c>
      <c r="M281" s="42" t="s">
        <v>715</v>
      </c>
      <c r="O281" s="1" t="n">
        <f aca="false">(C281*D281^3-(C281-2*E281)*(D281-2*F281)^3)/12</f>
        <v>84102252</v>
      </c>
      <c r="P281" s="1" t="n">
        <f aca="false">IFERROR(SQRT(J281/H281),"")</f>
        <v>98.4564201394031</v>
      </c>
      <c r="Q281" s="1" t="n">
        <f aca="false">IFERROR(SQRT(O281/H281),"")</f>
        <v>98.4564201394031</v>
      </c>
    </row>
    <row r="282" customFormat="false" ht="15" hidden="false" customHeight="true" outlineLevel="0" collapsed="false">
      <c r="A282" s="1" t="s">
        <v>734</v>
      </c>
      <c r="B282" s="1" t="s">
        <v>431</v>
      </c>
      <c r="C282" s="1" t="n">
        <v>250</v>
      </c>
      <c r="D282" s="1" t="n">
        <v>250</v>
      </c>
      <c r="E282" s="1" t="n">
        <v>12</v>
      </c>
      <c r="F282" s="1" t="n">
        <v>12</v>
      </c>
      <c r="G282" s="1" t="n">
        <v>0</v>
      </c>
      <c r="H282" s="1" t="n">
        <f aca="false">2*D282*F282+2*(C282-2*F282)*E282</f>
        <v>11424</v>
      </c>
      <c r="I282" s="1" t="n">
        <f aca="false">H282*DB_Settings!$G$5</f>
        <v>89.6784</v>
      </c>
      <c r="J282" s="1" t="n">
        <f aca="false">(D282*C282^3-(D282-2*E282)*(C282-2*F282)^3)/12</f>
        <v>108124352</v>
      </c>
      <c r="K282" s="1" t="n">
        <f aca="false">J282/(C282/2)</f>
        <v>864994.816</v>
      </c>
      <c r="L282" s="1" t="n">
        <f aca="false">2*E282*(C282-2*F282)</f>
        <v>5424</v>
      </c>
      <c r="M282" s="42" t="s">
        <v>715</v>
      </c>
      <c r="O282" s="1" t="n">
        <f aca="false">(C282*D282^3-(C282-2*E282)*(D282-2*F282)^3)/12</f>
        <v>108124352</v>
      </c>
      <c r="P282" s="1" t="n">
        <f aca="false">IFERROR(SQRT(J282/H282),"")</f>
        <v>97.2865184219616</v>
      </c>
      <c r="Q282" s="1" t="n">
        <f aca="false">IFERROR(SQRT(O282/H282),"")</f>
        <v>97.2865184219616</v>
      </c>
    </row>
    <row r="283" customFormat="false" ht="15" hidden="false" customHeight="true" outlineLevel="0" collapsed="false">
      <c r="A283" s="1" t="s">
        <v>735</v>
      </c>
      <c r="B283" s="1" t="s">
        <v>431</v>
      </c>
      <c r="C283" s="1" t="n">
        <v>250</v>
      </c>
      <c r="D283" s="1" t="n">
        <v>250</v>
      </c>
      <c r="E283" s="1" t="n">
        <v>16</v>
      </c>
      <c r="F283" s="1" t="n">
        <v>16</v>
      </c>
      <c r="G283" s="1" t="n">
        <v>0</v>
      </c>
      <c r="H283" s="1" t="n">
        <f aca="false">2*D283*F283+2*(C283-2*F283)*E283</f>
        <v>14976</v>
      </c>
      <c r="I283" s="1" t="n">
        <f aca="false">H283*DB_Settings!$G$5</f>
        <v>117.5616</v>
      </c>
      <c r="J283" s="1" t="n">
        <f aca="false">(D283*C283^3-(D283-2*E283)*(C283-2*F283)^3)/12</f>
        <v>137309952</v>
      </c>
      <c r="K283" s="1" t="n">
        <f aca="false">J283/(C283/2)</f>
        <v>1098479.616</v>
      </c>
      <c r="L283" s="1" t="n">
        <f aca="false">2*E283*(C283-2*F283)</f>
        <v>6976</v>
      </c>
      <c r="M283" s="42" t="s">
        <v>715</v>
      </c>
      <c r="O283" s="1" t="n">
        <f aca="false">(C283*D283^3-(C283-2*E283)*(D283-2*F283)^3)/12</f>
        <v>137309952</v>
      </c>
      <c r="P283" s="1" t="n">
        <f aca="false">IFERROR(SQRT(J283/H283),"")</f>
        <v>95.7531548653446</v>
      </c>
      <c r="Q283" s="1" t="n">
        <f aca="false">IFERROR(SQRT(O283/H283),"")</f>
        <v>95.7531548653446</v>
      </c>
    </row>
    <row r="284" customFormat="false" ht="15" hidden="false" customHeight="true" outlineLevel="0" collapsed="false">
      <c r="A284" s="1" t="s">
        <v>736</v>
      </c>
      <c r="B284" s="1" t="s">
        <v>431</v>
      </c>
      <c r="C284" s="1" t="n">
        <v>300</v>
      </c>
      <c r="D284" s="1" t="n">
        <v>300</v>
      </c>
      <c r="E284" s="1" t="n">
        <v>9</v>
      </c>
      <c r="F284" s="1" t="n">
        <v>9</v>
      </c>
      <c r="G284" s="1" t="n">
        <v>0</v>
      </c>
      <c r="H284" s="1" t="n">
        <f aca="false">2*D284*F284+2*(C284-2*F284)*E284</f>
        <v>10476</v>
      </c>
      <c r="I284" s="1" t="n">
        <f aca="false">H284*DB_Settings!$G$5</f>
        <v>82.2366</v>
      </c>
      <c r="J284" s="1" t="n">
        <f aca="false">(D284*C284^3-(D284-2*E284)*(C284-2*F284)^3)/12</f>
        <v>147994452</v>
      </c>
      <c r="K284" s="1" t="n">
        <f aca="false">J284/(C284/2)</f>
        <v>986629.68</v>
      </c>
      <c r="L284" s="1" t="n">
        <f aca="false">2*E284*(C284-2*F284)</f>
        <v>5076</v>
      </c>
      <c r="M284" s="42" t="s">
        <v>715</v>
      </c>
      <c r="O284" s="1" t="n">
        <f aca="false">(C284*D284^3-(C284-2*E284)*(D284-2*F284)^3)/12</f>
        <v>147994452</v>
      </c>
      <c r="P284" s="1" t="n">
        <f aca="false">IFERROR(SQRT(J284/H284),"")</f>
        <v>118.857057005464</v>
      </c>
      <c r="Q284" s="1" t="n">
        <f aca="false">IFERROR(SQRT(O284/H284),"")</f>
        <v>118.857057005464</v>
      </c>
    </row>
    <row r="285" customFormat="false" ht="15" hidden="false" customHeight="true" outlineLevel="0" collapsed="false">
      <c r="A285" s="1" t="s">
        <v>737</v>
      </c>
      <c r="B285" s="1" t="s">
        <v>431</v>
      </c>
      <c r="C285" s="1" t="n">
        <v>300</v>
      </c>
      <c r="D285" s="1" t="n">
        <v>300</v>
      </c>
      <c r="E285" s="1" t="n">
        <v>12</v>
      </c>
      <c r="F285" s="1" t="n">
        <v>12</v>
      </c>
      <c r="G285" s="1" t="n">
        <v>0</v>
      </c>
      <c r="H285" s="1" t="n">
        <f aca="false">2*D285*F285+2*(C285-2*F285)*E285</f>
        <v>13824</v>
      </c>
      <c r="I285" s="1" t="n">
        <f aca="false">H285*DB_Settings!$G$5</f>
        <v>108.5184</v>
      </c>
      <c r="J285" s="1" t="n">
        <f aca="false">(D285*C285^3-(D285-2*E285)*(C285-2*F285)^3)/12</f>
        <v>191434752</v>
      </c>
      <c r="K285" s="1" t="n">
        <f aca="false">J285/(C285/2)</f>
        <v>1276231.68</v>
      </c>
      <c r="L285" s="1" t="n">
        <f aca="false">2*E285*(C285-2*F285)</f>
        <v>6624</v>
      </c>
      <c r="M285" s="42" t="s">
        <v>715</v>
      </c>
      <c r="O285" s="1" t="n">
        <f aca="false">(C285*D285^3-(C285-2*E285)*(D285-2*F285)^3)/12</f>
        <v>191434752</v>
      </c>
      <c r="P285" s="1" t="n">
        <f aca="false">IFERROR(SQRT(J285/H285),"")</f>
        <v>117.677525466845</v>
      </c>
      <c r="Q285" s="1" t="n">
        <f aca="false">IFERROR(SQRT(O285/H285),"")</f>
        <v>117.677525466845</v>
      </c>
    </row>
    <row r="286" customFormat="false" ht="15" hidden="false" customHeight="true" outlineLevel="0" collapsed="false">
      <c r="A286" s="1" t="s">
        <v>738</v>
      </c>
      <c r="B286" s="1" t="s">
        <v>431</v>
      </c>
      <c r="C286" s="1" t="n">
        <v>300</v>
      </c>
      <c r="D286" s="1" t="n">
        <v>300</v>
      </c>
      <c r="E286" s="1" t="n">
        <v>16</v>
      </c>
      <c r="F286" s="1" t="n">
        <v>16</v>
      </c>
      <c r="G286" s="1" t="n">
        <v>0</v>
      </c>
      <c r="H286" s="1" t="n">
        <f aca="false">2*D286*F286+2*(C286-2*F286)*E286</f>
        <v>18176</v>
      </c>
      <c r="I286" s="1" t="n">
        <f aca="false">H286*DB_Settings!$G$5</f>
        <v>142.6816</v>
      </c>
      <c r="J286" s="1" t="n">
        <f aca="false">(D286*C286^3-(D286-2*E286)*(C286-2*F286)^3)/12</f>
        <v>245109418.666667</v>
      </c>
      <c r="K286" s="1" t="n">
        <f aca="false">J286/(C286/2)</f>
        <v>1634062.79111111</v>
      </c>
      <c r="L286" s="1" t="n">
        <f aca="false">2*E286*(C286-2*F286)</f>
        <v>8576</v>
      </c>
      <c r="M286" s="42" t="s">
        <v>715</v>
      </c>
      <c r="O286" s="1" t="n">
        <f aca="false">(C286*D286^3-(C286-2*E286)*(D286-2*F286)^3)/12</f>
        <v>245109418.666667</v>
      </c>
      <c r="P286" s="1" t="n">
        <f aca="false">IFERROR(SQRT(J286/H286),"")</f>
        <v>116.126367950321</v>
      </c>
      <c r="Q286" s="1" t="n">
        <f aca="false">IFERROR(SQRT(O286/H286),"")</f>
        <v>116.126367950321</v>
      </c>
    </row>
    <row r="287" customFormat="false" ht="15" hidden="false" customHeight="true" outlineLevel="0" collapsed="false">
      <c r="A287" s="1" t="s">
        <v>739</v>
      </c>
      <c r="B287" s="1" t="s">
        <v>431</v>
      </c>
      <c r="C287" s="1" t="n">
        <v>300</v>
      </c>
      <c r="D287" s="1" t="n">
        <v>300</v>
      </c>
      <c r="E287" s="1" t="n">
        <v>19</v>
      </c>
      <c r="F287" s="1" t="n">
        <v>19</v>
      </c>
      <c r="G287" s="1" t="n">
        <v>0</v>
      </c>
      <c r="H287" s="1" t="n">
        <f aca="false">2*D287*F287+2*(C287-2*F287)*E287</f>
        <v>21356</v>
      </c>
      <c r="I287" s="1" t="n">
        <f aca="false">H287*DB_Settings!$G$5</f>
        <v>167.6446</v>
      </c>
      <c r="J287" s="1" t="n">
        <f aca="false">(D287*C287^3-(D287-2*E287)*(C287-2*F287)^3)/12</f>
        <v>282333438.666667</v>
      </c>
      <c r="K287" s="1" t="n">
        <f aca="false">J287/(C287/2)</f>
        <v>1882222.92444444</v>
      </c>
      <c r="L287" s="1" t="n">
        <f aca="false">2*E287*(C287-2*F287)</f>
        <v>9956</v>
      </c>
      <c r="M287" s="42" t="s">
        <v>715</v>
      </c>
      <c r="O287" s="1" t="n">
        <f aca="false">(C287*D287^3-(C287-2*E287)*(D287-2*F287)^3)/12</f>
        <v>282333438.666667</v>
      </c>
      <c r="P287" s="1" t="n">
        <f aca="false">IFERROR(SQRT(J287/H287),"")</f>
        <v>114.979708354706</v>
      </c>
      <c r="Q287" s="1" t="n">
        <f aca="false">IFERROR(SQRT(O287/H287),"")</f>
        <v>114.979708354706</v>
      </c>
    </row>
    <row r="288" customFormat="false" ht="15" hidden="false" customHeight="true" outlineLevel="0" collapsed="false">
      <c r="A288" s="1" t="s">
        <v>740</v>
      </c>
      <c r="B288" s="1" t="s">
        <v>431</v>
      </c>
      <c r="C288" s="1" t="n">
        <v>350</v>
      </c>
      <c r="D288" s="1" t="n">
        <v>350</v>
      </c>
      <c r="E288" s="1" t="n">
        <v>12</v>
      </c>
      <c r="F288" s="1" t="n">
        <v>12</v>
      </c>
      <c r="G288" s="1" t="n">
        <v>0</v>
      </c>
      <c r="H288" s="1" t="n">
        <f aca="false">2*D288*F288+2*(C288-2*F288)*E288</f>
        <v>16224</v>
      </c>
      <c r="I288" s="1" t="n">
        <f aca="false">H288*DB_Settings!$G$5</f>
        <v>127.3584</v>
      </c>
      <c r="J288" s="1" t="n">
        <f aca="false">(D288*C288^3-(D288-2*E288)*(C288-2*F288)^3)/12</f>
        <v>309305152</v>
      </c>
      <c r="K288" s="1" t="n">
        <f aca="false">J288/(C288/2)</f>
        <v>1767458.01142857</v>
      </c>
      <c r="L288" s="1" t="n">
        <f aca="false">2*E288*(C288-2*F288)</f>
        <v>7824</v>
      </c>
      <c r="M288" s="42" t="s">
        <v>715</v>
      </c>
      <c r="O288" s="1" t="n">
        <f aca="false">(C288*D288^3-(C288-2*E288)*(D288-2*F288)^3)/12</f>
        <v>309305152</v>
      </c>
      <c r="P288" s="1" t="n">
        <f aca="false">IFERROR(SQRT(J288/H288),"")</f>
        <v>138.074858923218</v>
      </c>
      <c r="Q288" s="1" t="n">
        <f aca="false">IFERROR(SQRT(O288/H288),"")</f>
        <v>138.074858923218</v>
      </c>
    </row>
    <row r="289" customFormat="false" ht="15" hidden="false" customHeight="true" outlineLevel="0" collapsed="false">
      <c r="A289" s="1" t="s">
        <v>741</v>
      </c>
      <c r="B289" s="1" t="s">
        <v>431</v>
      </c>
      <c r="C289" s="1" t="n">
        <v>350</v>
      </c>
      <c r="D289" s="1" t="n">
        <v>350</v>
      </c>
      <c r="E289" s="1" t="n">
        <v>16</v>
      </c>
      <c r="F289" s="1" t="n">
        <v>16</v>
      </c>
      <c r="G289" s="1" t="n">
        <v>0</v>
      </c>
      <c r="H289" s="1" t="n">
        <f aca="false">2*D289*F289+2*(C289-2*F289)*E289</f>
        <v>21376</v>
      </c>
      <c r="I289" s="1" t="n">
        <f aca="false">H289*DB_Settings!$G$5</f>
        <v>167.8016</v>
      </c>
      <c r="J289" s="1" t="n">
        <f aca="false">(D289*C289^3-(D289-2*E289)*(C289-2*F289)^3)/12</f>
        <v>398348885.333333</v>
      </c>
      <c r="K289" s="1" t="n">
        <f aca="false">J289/(C289/2)</f>
        <v>2276279.34476191</v>
      </c>
      <c r="L289" s="1" t="n">
        <f aca="false">2*E289*(C289-2*F289)</f>
        <v>10176</v>
      </c>
      <c r="M289" s="42" t="s">
        <v>715</v>
      </c>
      <c r="O289" s="1" t="n">
        <f aca="false">(C289*D289^3-(C289-2*E289)*(D289-2*F289)^3)/12</f>
        <v>398348885.333333</v>
      </c>
      <c r="P289" s="1" t="n">
        <f aca="false">IFERROR(SQRT(J289/H289),"")</f>
        <v>136.511293794079</v>
      </c>
      <c r="Q289" s="1" t="n">
        <f aca="false">IFERROR(SQRT(O289/H289),"")</f>
        <v>136.511293794079</v>
      </c>
    </row>
    <row r="290" customFormat="false" ht="15" hidden="false" customHeight="true" outlineLevel="0" collapsed="false">
      <c r="A290" s="1" t="s">
        <v>742</v>
      </c>
      <c r="B290" s="1" t="s">
        <v>431</v>
      </c>
      <c r="C290" s="1" t="n">
        <v>350</v>
      </c>
      <c r="D290" s="1" t="n">
        <v>350</v>
      </c>
      <c r="E290" s="1" t="n">
        <v>19</v>
      </c>
      <c r="F290" s="1" t="n">
        <v>19</v>
      </c>
      <c r="G290" s="1" t="n">
        <v>0</v>
      </c>
      <c r="H290" s="1" t="n">
        <f aca="false">2*D290*F290+2*(C290-2*F290)*E290</f>
        <v>25156</v>
      </c>
      <c r="I290" s="1" t="n">
        <f aca="false">H290*DB_Settings!$G$5</f>
        <v>197.4746</v>
      </c>
      <c r="J290" s="1" t="n">
        <f aca="false">(D290*C290^3-(D290-2*E290)*(C290-2*F290)^3)/12</f>
        <v>460866305.333333</v>
      </c>
      <c r="K290" s="1" t="n">
        <f aca="false">J290/(C290/2)</f>
        <v>2633521.7447619</v>
      </c>
      <c r="L290" s="1" t="n">
        <f aca="false">2*E290*(C290-2*F290)</f>
        <v>11856</v>
      </c>
      <c r="M290" s="42" t="s">
        <v>715</v>
      </c>
      <c r="O290" s="1" t="n">
        <f aca="false">(C290*D290^3-(C290-2*E290)*(D290-2*F290)^3)/12</f>
        <v>460866305.333333</v>
      </c>
      <c r="P290" s="1" t="n">
        <f aca="false">IFERROR(SQRT(J290/H290),"")</f>
        <v>135.352625882667</v>
      </c>
      <c r="Q290" s="1" t="n">
        <f aca="false">IFERROR(SQRT(O290/H290),"")</f>
        <v>135.352625882667</v>
      </c>
    </row>
    <row r="291" customFormat="false" ht="15" hidden="false" customHeight="true" outlineLevel="0" collapsed="false">
      <c r="A291" s="1" t="s">
        <v>743</v>
      </c>
      <c r="B291" s="1" t="s">
        <v>431</v>
      </c>
      <c r="C291" s="1" t="n">
        <v>400</v>
      </c>
      <c r="D291" s="1" t="n">
        <v>400</v>
      </c>
      <c r="E291" s="1" t="n">
        <v>12</v>
      </c>
      <c r="F291" s="1" t="n">
        <v>12</v>
      </c>
      <c r="G291" s="1" t="n">
        <v>0</v>
      </c>
      <c r="H291" s="1" t="n">
        <f aca="false">2*D291*F291+2*(C291-2*F291)*E291</f>
        <v>18624</v>
      </c>
      <c r="I291" s="1" t="n">
        <f aca="false">H291*DB_Settings!$G$5</f>
        <v>146.1984</v>
      </c>
      <c r="J291" s="1" t="n">
        <f aca="false">(D291*C291^3-(D291-2*E291)*(C291-2*F291)^3)/12</f>
        <v>467735552</v>
      </c>
      <c r="K291" s="1" t="n">
        <f aca="false">J291/(C291/2)</f>
        <v>2338677.76</v>
      </c>
      <c r="L291" s="1" t="n">
        <f aca="false">2*E291*(C291-2*F291)</f>
        <v>9024</v>
      </c>
      <c r="M291" s="42" t="s">
        <v>715</v>
      </c>
      <c r="O291" s="1" t="n">
        <f aca="false">(C291*D291^3-(C291-2*E291)*(D291-2*F291)^3)/12</f>
        <v>467735552</v>
      </c>
      <c r="P291" s="1" t="n">
        <f aca="false">IFERROR(SQRT(J291/H291),"")</f>
        <v>158.476076007285</v>
      </c>
      <c r="Q291" s="1" t="n">
        <f aca="false">IFERROR(SQRT(O291/H291),"")</f>
        <v>158.476076007285</v>
      </c>
    </row>
    <row r="292" customFormat="false" ht="15" hidden="false" customHeight="true" outlineLevel="0" collapsed="false">
      <c r="A292" s="1" t="s">
        <v>744</v>
      </c>
      <c r="B292" s="1" t="s">
        <v>431</v>
      </c>
      <c r="C292" s="1" t="n">
        <v>400</v>
      </c>
      <c r="D292" s="1" t="n">
        <v>400</v>
      </c>
      <c r="E292" s="1" t="n">
        <v>16</v>
      </c>
      <c r="F292" s="1" t="n">
        <v>16</v>
      </c>
      <c r="G292" s="1" t="n">
        <v>0</v>
      </c>
      <c r="H292" s="1" t="n">
        <f aca="false">2*D292*F292+2*(C292-2*F292)*E292</f>
        <v>24576</v>
      </c>
      <c r="I292" s="1" t="n">
        <f aca="false">H292*DB_Settings!$G$5</f>
        <v>192.9216</v>
      </c>
      <c r="J292" s="1" t="n">
        <f aca="false">(D292*C292^3-(D292-2*E292)*(C292-2*F292)^3)/12</f>
        <v>605028352</v>
      </c>
      <c r="K292" s="1" t="n">
        <f aca="false">J292/(C292/2)</f>
        <v>3025141.76</v>
      </c>
      <c r="L292" s="1" t="n">
        <f aca="false">2*E292*(C292-2*F292)</f>
        <v>11776</v>
      </c>
      <c r="M292" s="42" t="s">
        <v>715</v>
      </c>
      <c r="O292" s="1" t="n">
        <f aca="false">(C292*D292^3-(C292-2*E292)*(D292-2*F292)^3)/12</f>
        <v>605028352</v>
      </c>
      <c r="P292" s="1" t="n">
        <f aca="false">IFERROR(SQRT(J292/H292),"")</f>
        <v>156.903367289127</v>
      </c>
      <c r="Q292" s="1" t="n">
        <f aca="false">IFERROR(SQRT(O292/H292),"")</f>
        <v>156.903367289127</v>
      </c>
    </row>
    <row r="293" customFormat="false" ht="15" hidden="false" customHeight="true" outlineLevel="0" collapsed="false">
      <c r="A293" s="1" t="s">
        <v>745</v>
      </c>
      <c r="B293" s="1" t="s">
        <v>431</v>
      </c>
      <c r="C293" s="1" t="n">
        <v>400</v>
      </c>
      <c r="D293" s="1" t="n">
        <v>400</v>
      </c>
      <c r="E293" s="1" t="n">
        <v>19</v>
      </c>
      <c r="F293" s="1" t="n">
        <v>19</v>
      </c>
      <c r="G293" s="1" t="n">
        <v>0</v>
      </c>
      <c r="H293" s="1" t="n">
        <f aca="false">2*D293*F293+2*(C293-2*F293)*E293</f>
        <v>28956</v>
      </c>
      <c r="I293" s="1" t="n">
        <f aca="false">H293*DB_Settings!$G$5</f>
        <v>227.3046</v>
      </c>
      <c r="J293" s="1" t="n">
        <f aca="false">(D293*C293^3-(D293-2*E293)*(C293-2*F293)^3)/12</f>
        <v>702289172</v>
      </c>
      <c r="K293" s="1" t="n">
        <f aca="false">J293/(C293/2)</f>
        <v>3511445.86</v>
      </c>
      <c r="L293" s="1" t="n">
        <f aca="false">2*E293*(C293-2*F293)</f>
        <v>13756</v>
      </c>
      <c r="M293" s="42" t="s">
        <v>715</v>
      </c>
      <c r="O293" s="1" t="n">
        <f aca="false">(C293*D293^3-(C293-2*E293)*(D293-2*F293)^3)/12</f>
        <v>702289172</v>
      </c>
      <c r="P293" s="1" t="n">
        <f aca="false">IFERROR(SQRT(J293/H293),"")</f>
        <v>155.735887536132</v>
      </c>
      <c r="Q293" s="1" t="n">
        <f aca="false">IFERROR(SQRT(O293/H293),"")</f>
        <v>155.735887536132</v>
      </c>
    </row>
    <row r="294" customFormat="false" ht="15" hidden="false" customHeight="true" outlineLevel="0" collapsed="false">
      <c r="A294" s="1" t="s">
        <v>746</v>
      </c>
      <c r="B294" s="1" t="s">
        <v>431</v>
      </c>
      <c r="C294" s="1" t="n">
        <v>400</v>
      </c>
      <c r="D294" s="1" t="n">
        <v>400</v>
      </c>
      <c r="E294" s="1" t="n">
        <v>22</v>
      </c>
      <c r="F294" s="1" t="n">
        <v>22</v>
      </c>
      <c r="G294" s="1" t="n">
        <v>0</v>
      </c>
      <c r="H294" s="1" t="n">
        <f aca="false">2*D294*F294+2*(C294-2*F294)*E294</f>
        <v>33264</v>
      </c>
      <c r="I294" s="1" t="n">
        <f aca="false">H294*DB_Settings!$G$5</f>
        <v>261.1224</v>
      </c>
      <c r="J294" s="1" t="n">
        <f aca="false">(D294*C294^3-(D294-2*E294)*(C294-2*F294)^3)/12</f>
        <v>794832192</v>
      </c>
      <c r="K294" s="1" t="n">
        <f aca="false">J294/(C294/2)</f>
        <v>3974160.96</v>
      </c>
      <c r="L294" s="1" t="n">
        <f aca="false">2*E294*(C294-2*F294)</f>
        <v>15664</v>
      </c>
      <c r="M294" s="42" t="s">
        <v>715</v>
      </c>
      <c r="O294" s="1" t="n">
        <f aca="false">(C294*D294^3-(C294-2*E294)*(D294-2*F294)^3)/12</f>
        <v>794832192</v>
      </c>
      <c r="P294" s="1" t="n">
        <f aca="false">IFERROR(SQRT(J294/H294),"")</f>
        <v>154.578998142266</v>
      </c>
      <c r="Q294" s="1" t="n">
        <f aca="false">IFERROR(SQRT(O294/H294),"")</f>
        <v>154.578998142266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4"/>
    <col collapsed="false" customWidth="true" hidden="false" outlineLevel="0" max="7" min="7" style="1" width="26"/>
  </cols>
  <sheetData>
    <row r="1" customFormat="false" ht="16.5" hidden="false" customHeight="true" outlineLevel="0" collapsed="false">
      <c r="A1" s="72" t="s">
        <v>747</v>
      </c>
      <c r="B1" s="72" t="s">
        <v>82</v>
      </c>
      <c r="C1" s="73" t="s">
        <v>87</v>
      </c>
      <c r="D1" s="72" t="s">
        <v>748</v>
      </c>
      <c r="E1" s="72" t="s">
        <v>96</v>
      </c>
      <c r="F1" s="72" t="s">
        <v>106</v>
      </c>
      <c r="G1" s="72" t="s">
        <v>434</v>
      </c>
    </row>
    <row r="2" customFormat="false" ht="32.25" hidden="false" customHeight="true" outlineLevel="0" collapsed="false">
      <c r="A2" s="77" t="s">
        <v>131</v>
      </c>
      <c r="B2" s="75" t="s">
        <v>79</v>
      </c>
      <c r="C2" s="74" t="n">
        <v>240</v>
      </c>
      <c r="D2" s="74"/>
      <c r="E2" s="77" t="s">
        <v>749</v>
      </c>
      <c r="F2" s="77" t="s">
        <v>750</v>
      </c>
      <c r="G2" s="77" t="s">
        <v>751</v>
      </c>
    </row>
    <row r="3" customFormat="false" ht="16.5" hidden="false" customHeight="true" outlineLevel="0" collapsed="false">
      <c r="A3" s="77" t="s">
        <v>752</v>
      </c>
      <c r="B3" s="75" t="s">
        <v>79</v>
      </c>
      <c r="C3" s="74" t="n">
        <v>360</v>
      </c>
      <c r="D3" s="74"/>
      <c r="E3" s="77" t="s">
        <v>753</v>
      </c>
      <c r="F3" s="77" t="s">
        <v>754</v>
      </c>
      <c r="G3" s="78"/>
    </row>
    <row r="4" customFormat="false" ht="16.5" hidden="false" customHeight="true" outlineLevel="0" collapsed="false">
      <c r="A4" s="77" t="s">
        <v>755</v>
      </c>
      <c r="B4" s="75" t="s">
        <v>756</v>
      </c>
      <c r="C4" s="74" t="n">
        <v>360</v>
      </c>
      <c r="D4" s="74" t="n">
        <v>25</v>
      </c>
      <c r="E4" s="77" t="s">
        <v>753</v>
      </c>
      <c r="F4" s="77" t="s">
        <v>757</v>
      </c>
      <c r="G4" s="78"/>
    </row>
    <row r="5" customFormat="false" ht="16.5" hidden="false" customHeight="true" outlineLevel="0" collapsed="false">
      <c r="A5" s="77" t="s">
        <v>758</v>
      </c>
      <c r="B5" s="75" t="s">
        <v>759</v>
      </c>
      <c r="C5" s="74" t="n">
        <v>0</v>
      </c>
      <c r="D5" s="74" t="n">
        <v>6</v>
      </c>
      <c r="E5" s="77" t="s">
        <v>749</v>
      </c>
      <c r="F5" s="77" t="s">
        <v>760</v>
      </c>
      <c r="G5" s="78"/>
    </row>
    <row r="6" customFormat="false" ht="16.5" hidden="false" customHeight="true" outlineLevel="0" collapsed="false">
      <c r="A6" s="77" t="s">
        <v>761</v>
      </c>
      <c r="B6" s="75" t="s">
        <v>226</v>
      </c>
      <c r="C6" s="74" t="n">
        <v>800</v>
      </c>
      <c r="D6" s="74"/>
      <c r="E6" s="77" t="s">
        <v>762</v>
      </c>
      <c r="F6" s="77" t="s">
        <v>763</v>
      </c>
      <c r="G6" s="78"/>
    </row>
    <row r="7" customFormat="false" ht="16.5" hidden="false" customHeight="true" outlineLevel="0" collapsed="false">
      <c r="A7" s="77" t="s">
        <v>764</v>
      </c>
      <c r="B7" s="75" t="s">
        <v>765</v>
      </c>
      <c r="C7" s="74" t="n">
        <v>1000</v>
      </c>
      <c r="D7" s="74"/>
      <c r="E7" s="77" t="s">
        <v>762</v>
      </c>
      <c r="F7" s="77" t="s">
        <v>766</v>
      </c>
      <c r="G7" s="78"/>
    </row>
    <row r="8" customFormat="false" ht="16.5" hidden="false" customHeight="true" outlineLevel="0" collapsed="false">
      <c r="A8" s="77" t="s">
        <v>767</v>
      </c>
      <c r="B8" s="75" t="s">
        <v>226</v>
      </c>
      <c r="C8" s="74" t="n">
        <v>500</v>
      </c>
      <c r="D8" s="74"/>
      <c r="E8" s="77" t="s">
        <v>762</v>
      </c>
      <c r="F8" s="77" t="s">
        <v>768</v>
      </c>
      <c r="G8" s="78"/>
    </row>
    <row r="9" customFormat="false" ht="16.5" hidden="false" customHeight="true" outlineLevel="0" collapsed="false">
      <c r="A9" s="77" t="s">
        <v>769</v>
      </c>
      <c r="B9" s="75" t="s">
        <v>770</v>
      </c>
      <c r="C9" s="74" t="n">
        <v>400</v>
      </c>
      <c r="D9" s="74" t="n">
        <v>21</v>
      </c>
      <c r="E9" s="77" t="s">
        <v>749</v>
      </c>
      <c r="F9" s="77" t="s">
        <v>771</v>
      </c>
      <c r="G9" s="78"/>
    </row>
    <row r="10" customFormat="false" ht="16.5" hidden="false" customHeight="true" outlineLevel="0" collapsed="false">
      <c r="A10" s="77" t="s">
        <v>772</v>
      </c>
      <c r="B10" s="75" t="s">
        <v>770</v>
      </c>
      <c r="C10" s="74" t="n">
        <v>600</v>
      </c>
      <c r="D10" s="74" t="n">
        <v>21</v>
      </c>
      <c r="E10" s="77" t="s">
        <v>749</v>
      </c>
      <c r="F10" s="77" t="s">
        <v>773</v>
      </c>
      <c r="G10" s="78"/>
    </row>
    <row r="11" customFormat="false" ht="30" hidden="false" customHeight="true" outlineLevel="0" collapsed="false">
      <c r="A11" s="77" t="s">
        <v>774</v>
      </c>
      <c r="B11" s="75" t="s">
        <v>770</v>
      </c>
      <c r="C11" s="74" t="n">
        <v>900</v>
      </c>
      <c r="D11" s="74" t="n">
        <v>21</v>
      </c>
      <c r="E11" s="77" t="s">
        <v>749</v>
      </c>
      <c r="F11" s="77" t="s">
        <v>775</v>
      </c>
      <c r="G11" s="78"/>
    </row>
    <row r="12" customFormat="false" ht="16.5" hidden="false" customHeight="true" outlineLevel="0" collapsed="false">
      <c r="A12" s="77" t="s">
        <v>776</v>
      </c>
      <c r="B12" s="75" t="s">
        <v>770</v>
      </c>
      <c r="C12" s="74" t="n">
        <v>400</v>
      </c>
      <c r="D12" s="74" t="n">
        <v>21</v>
      </c>
      <c r="E12" s="77" t="s">
        <v>749</v>
      </c>
      <c r="F12" s="77" t="s">
        <v>771</v>
      </c>
      <c r="G12" s="78"/>
    </row>
    <row r="13" customFormat="false" ht="16.5" hidden="false" customHeight="true" outlineLevel="0" collapsed="false">
      <c r="A13" s="77" t="s">
        <v>777</v>
      </c>
      <c r="B13" s="75" t="s">
        <v>778</v>
      </c>
      <c r="C13" s="74" t="n">
        <v>300</v>
      </c>
      <c r="D13" s="74" t="n">
        <v>25</v>
      </c>
      <c r="E13" s="77" t="s">
        <v>749</v>
      </c>
      <c r="F13" s="77" t="s">
        <v>779</v>
      </c>
      <c r="G13" s="78"/>
    </row>
    <row r="14" customFormat="false" ht="16.5" hidden="false" customHeight="true" outlineLevel="0" collapsed="false">
      <c r="A14" s="77" t="s">
        <v>780</v>
      </c>
      <c r="B14" s="75" t="s">
        <v>778</v>
      </c>
      <c r="C14" s="74" t="n">
        <v>600</v>
      </c>
      <c r="D14" s="74" t="n">
        <v>25</v>
      </c>
      <c r="E14" s="77" t="s">
        <v>749</v>
      </c>
      <c r="F14" s="77" t="s">
        <v>781</v>
      </c>
      <c r="G14" s="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782</v>
      </c>
      <c r="B1" s="1" t="s">
        <v>783</v>
      </c>
      <c r="C1" s="42" t="s">
        <v>420</v>
      </c>
      <c r="D1" s="1" t="s">
        <v>784</v>
      </c>
      <c r="E1" s="1" t="s">
        <v>785</v>
      </c>
      <c r="F1" s="1" t="s">
        <v>431</v>
      </c>
    </row>
    <row r="2" customFormat="false" ht="15" hidden="false" customHeight="true" outlineLevel="0" collapsed="false">
      <c r="A2" s="1" t="s">
        <v>98</v>
      </c>
      <c r="B2" s="1" t="s">
        <v>678</v>
      </c>
      <c r="C2" s="1" t="s">
        <v>575</v>
      </c>
      <c r="D2" s="1" t="s">
        <v>591</v>
      </c>
      <c r="E2" s="1" t="s">
        <v>637</v>
      </c>
      <c r="F2" s="1" t="s">
        <v>714</v>
      </c>
    </row>
    <row r="3" customFormat="false" ht="15" hidden="false" customHeight="true" outlineLevel="0" collapsed="false">
      <c r="A3" s="1" t="s">
        <v>437</v>
      </c>
      <c r="B3" s="1" t="s">
        <v>683</v>
      </c>
      <c r="C3" s="1" t="s">
        <v>576</v>
      </c>
      <c r="D3" s="1" t="s">
        <v>593</v>
      </c>
      <c r="E3" s="1" t="s">
        <v>639</v>
      </c>
      <c r="F3" s="1" t="s">
        <v>716</v>
      </c>
    </row>
    <row r="4" customFormat="false" ht="15" hidden="false" customHeight="true" outlineLevel="0" collapsed="false">
      <c r="A4" s="1" t="s">
        <v>438</v>
      </c>
      <c r="B4" s="1" t="s">
        <v>685</v>
      </c>
      <c r="C4" s="1" t="s">
        <v>577</v>
      </c>
      <c r="D4" s="1" t="s">
        <v>594</v>
      </c>
      <c r="E4" s="1" t="s">
        <v>640</v>
      </c>
      <c r="F4" s="1" t="s">
        <v>717</v>
      </c>
    </row>
    <row r="5" customFormat="false" ht="15" hidden="false" customHeight="true" outlineLevel="0" collapsed="false">
      <c r="A5" s="1" t="s">
        <v>439</v>
      </c>
      <c r="B5" s="1" t="s">
        <v>686</v>
      </c>
      <c r="C5" s="1" t="s">
        <v>578</v>
      </c>
      <c r="D5" s="1" t="s">
        <v>595</v>
      </c>
      <c r="E5" s="1" t="s">
        <v>641</v>
      </c>
      <c r="F5" s="1" t="s">
        <v>718</v>
      </c>
    </row>
    <row r="6" customFormat="false" ht="15" hidden="false" customHeight="true" outlineLevel="0" collapsed="false">
      <c r="A6" s="1" t="s">
        <v>440</v>
      </c>
      <c r="B6" s="1" t="s">
        <v>688</v>
      </c>
      <c r="C6" s="1" t="s">
        <v>579</v>
      </c>
      <c r="D6" s="1" t="s">
        <v>596</v>
      </c>
      <c r="E6" s="1" t="s">
        <v>642</v>
      </c>
      <c r="F6" s="1" t="s">
        <v>719</v>
      </c>
    </row>
    <row r="7" customFormat="false" ht="15" hidden="false" customHeight="true" outlineLevel="0" collapsed="false">
      <c r="A7" s="1" t="s">
        <v>441</v>
      </c>
      <c r="B7" s="1" t="s">
        <v>690</v>
      </c>
      <c r="C7" s="1" t="s">
        <v>580</v>
      </c>
      <c r="D7" s="1" t="s">
        <v>597</v>
      </c>
      <c r="E7" s="1" t="s">
        <v>643</v>
      </c>
      <c r="F7" s="1" t="s">
        <v>720</v>
      </c>
    </row>
    <row r="8" customFormat="false" ht="15" hidden="false" customHeight="true" outlineLevel="0" collapsed="false">
      <c r="A8" s="1" t="s">
        <v>442</v>
      </c>
      <c r="B8" s="1" t="s">
        <v>691</v>
      </c>
      <c r="C8" s="1" t="s">
        <v>581</v>
      </c>
      <c r="D8" s="1" t="s">
        <v>598</v>
      </c>
      <c r="E8" s="1" t="s">
        <v>644</v>
      </c>
      <c r="F8" s="1" t="s">
        <v>721</v>
      </c>
    </row>
    <row r="9" customFormat="false" ht="15" hidden="false" customHeight="true" outlineLevel="0" collapsed="false">
      <c r="A9" s="1" t="s">
        <v>443</v>
      </c>
      <c r="B9" s="1" t="s">
        <v>693</v>
      </c>
      <c r="C9" s="1" t="s">
        <v>582</v>
      </c>
      <c r="D9" s="1" t="s">
        <v>599</v>
      </c>
      <c r="E9" s="1" t="s">
        <v>645</v>
      </c>
      <c r="F9" s="1" t="s">
        <v>722</v>
      </c>
    </row>
    <row r="10" customFormat="false" ht="15" hidden="false" customHeight="true" outlineLevel="0" collapsed="false">
      <c r="A10" s="1" t="s">
        <v>444</v>
      </c>
      <c r="B10" s="1" t="s">
        <v>695</v>
      </c>
      <c r="C10" s="1" t="s">
        <v>583</v>
      </c>
      <c r="D10" s="1" t="s">
        <v>600</v>
      </c>
      <c r="E10" s="1" t="s">
        <v>646</v>
      </c>
      <c r="F10" s="1" t="s">
        <v>723</v>
      </c>
    </row>
    <row r="11" customFormat="false" ht="15" hidden="false" customHeight="true" outlineLevel="0" collapsed="false">
      <c r="A11" s="1" t="s">
        <v>445</v>
      </c>
      <c r="B11" s="1" t="s">
        <v>697</v>
      </c>
      <c r="C11" s="1" t="s">
        <v>584</v>
      </c>
      <c r="D11" s="1" t="s">
        <v>601</v>
      </c>
      <c r="E11" s="1" t="s">
        <v>647</v>
      </c>
      <c r="F11" s="1" t="s">
        <v>724</v>
      </c>
    </row>
    <row r="12" customFormat="false" ht="15" hidden="false" customHeight="true" outlineLevel="0" collapsed="false">
      <c r="A12" s="1" t="s">
        <v>446</v>
      </c>
      <c r="B12" s="1" t="s">
        <v>698</v>
      </c>
      <c r="C12" s="1" t="s">
        <v>585</v>
      </c>
      <c r="D12" s="1" t="s">
        <v>602</v>
      </c>
      <c r="E12" s="1" t="s">
        <v>648</v>
      </c>
      <c r="F12" s="1" t="s">
        <v>725</v>
      </c>
    </row>
    <row r="13" customFormat="false" ht="15" hidden="false" customHeight="true" outlineLevel="0" collapsed="false">
      <c r="A13" s="1" t="s">
        <v>447</v>
      </c>
      <c r="B13" s="1" t="s">
        <v>700</v>
      </c>
      <c r="C13" s="1" t="s">
        <v>586</v>
      </c>
      <c r="D13" s="1" t="s">
        <v>603</v>
      </c>
      <c r="E13" s="1" t="s">
        <v>649</v>
      </c>
      <c r="F13" s="1" t="s">
        <v>726</v>
      </c>
    </row>
    <row r="14" customFormat="false" ht="15" hidden="false" customHeight="true" outlineLevel="0" collapsed="false">
      <c r="A14" s="1" t="s">
        <v>246</v>
      </c>
      <c r="B14" s="1" t="s">
        <v>702</v>
      </c>
      <c r="C14" s="1" t="s">
        <v>587</v>
      </c>
      <c r="D14" s="1" t="s">
        <v>604</v>
      </c>
      <c r="E14" s="1" t="s">
        <v>650</v>
      </c>
      <c r="F14" s="1" t="s">
        <v>727</v>
      </c>
    </row>
    <row r="15" customFormat="false" ht="15" hidden="false" customHeight="true" outlineLevel="0" collapsed="false">
      <c r="A15" s="1" t="s">
        <v>448</v>
      </c>
      <c r="B15" s="1" t="s">
        <v>703</v>
      </c>
      <c r="C15" s="1" t="s">
        <v>588</v>
      </c>
      <c r="D15" s="1" t="s">
        <v>605</v>
      </c>
      <c r="E15" s="1" t="s">
        <v>651</v>
      </c>
      <c r="F15" s="1" t="s">
        <v>728</v>
      </c>
    </row>
    <row r="16" customFormat="false" ht="15" hidden="false" customHeight="true" outlineLevel="0" collapsed="false">
      <c r="A16" s="1" t="s">
        <v>449</v>
      </c>
      <c r="B16" s="1" t="s">
        <v>705</v>
      </c>
      <c r="C16" s="1" t="s">
        <v>589</v>
      </c>
      <c r="D16" s="1" t="s">
        <v>606</v>
      </c>
      <c r="E16" s="1" t="s">
        <v>652</v>
      </c>
      <c r="F16" s="1" t="s">
        <v>729</v>
      </c>
    </row>
    <row r="17" customFormat="false" ht="15" hidden="false" customHeight="true" outlineLevel="0" collapsed="false">
      <c r="A17" s="1" t="s">
        <v>450</v>
      </c>
      <c r="B17" s="1" t="s">
        <v>707</v>
      </c>
      <c r="C17" s="1" t="s">
        <v>590</v>
      </c>
      <c r="D17" s="1" t="s">
        <v>607</v>
      </c>
      <c r="E17" s="1" t="s">
        <v>653</v>
      </c>
      <c r="F17" s="1" t="s">
        <v>730</v>
      </c>
    </row>
    <row r="18" customFormat="false" ht="15" hidden="false" customHeight="true" outlineLevel="0" collapsed="false">
      <c r="A18" s="1" t="s">
        <v>451</v>
      </c>
      <c r="B18" s="1" t="s">
        <v>709</v>
      </c>
      <c r="D18" s="1" t="s">
        <v>608</v>
      </c>
      <c r="E18" s="1" t="s">
        <v>654</v>
      </c>
      <c r="F18" s="1" t="s">
        <v>731</v>
      </c>
    </row>
    <row r="19" customFormat="false" ht="15" hidden="false" customHeight="true" outlineLevel="0" collapsed="false">
      <c r="A19" s="1" t="s">
        <v>452</v>
      </c>
      <c r="B19" s="1" t="s">
        <v>710</v>
      </c>
      <c r="D19" s="1" t="s">
        <v>609</v>
      </c>
      <c r="E19" s="1" t="s">
        <v>655</v>
      </c>
      <c r="F19" s="1" t="s">
        <v>732</v>
      </c>
    </row>
    <row r="20" customFormat="false" ht="15" hidden="false" customHeight="true" outlineLevel="0" collapsed="false">
      <c r="A20" s="1" t="s">
        <v>453</v>
      </c>
      <c r="B20" s="1" t="s">
        <v>711</v>
      </c>
      <c r="D20" s="1" t="s">
        <v>610</v>
      </c>
      <c r="E20" s="1" t="s">
        <v>656</v>
      </c>
      <c r="F20" s="1" t="s">
        <v>733</v>
      </c>
    </row>
    <row r="21" customFormat="false" ht="15" hidden="false" customHeight="true" outlineLevel="0" collapsed="false">
      <c r="A21" s="1" t="s">
        <v>454</v>
      </c>
      <c r="B21" s="1" t="s">
        <v>712</v>
      </c>
      <c r="D21" s="1" t="s">
        <v>611</v>
      </c>
      <c r="E21" s="1" t="s">
        <v>657</v>
      </c>
      <c r="F21" s="1" t="s">
        <v>734</v>
      </c>
    </row>
    <row r="22" customFormat="false" ht="15" hidden="false" customHeight="true" outlineLevel="0" collapsed="false">
      <c r="A22" s="1" t="s">
        <v>455</v>
      </c>
      <c r="D22" s="1" t="s">
        <v>612</v>
      </c>
      <c r="E22" s="1" t="s">
        <v>658</v>
      </c>
      <c r="F22" s="1" t="s">
        <v>735</v>
      </c>
    </row>
    <row r="23" customFormat="false" ht="15" hidden="false" customHeight="true" outlineLevel="0" collapsed="false">
      <c r="A23" s="1" t="s">
        <v>456</v>
      </c>
      <c r="D23" s="1" t="s">
        <v>613</v>
      </c>
      <c r="E23" s="1" t="s">
        <v>659</v>
      </c>
      <c r="F23" s="1" t="s">
        <v>736</v>
      </c>
    </row>
    <row r="24" customFormat="false" ht="15" hidden="false" customHeight="true" outlineLevel="0" collapsed="false">
      <c r="A24" s="1" t="s">
        <v>457</v>
      </c>
      <c r="D24" s="1" t="s">
        <v>614</v>
      </c>
      <c r="E24" s="1" t="s">
        <v>660</v>
      </c>
      <c r="F24" s="1" t="s">
        <v>737</v>
      </c>
    </row>
    <row r="25" customFormat="false" ht="15" hidden="false" customHeight="true" outlineLevel="0" collapsed="false">
      <c r="A25" s="1" t="s">
        <v>458</v>
      </c>
      <c r="D25" s="1" t="s">
        <v>615</v>
      </c>
      <c r="E25" s="1" t="s">
        <v>661</v>
      </c>
      <c r="F25" s="1" t="s">
        <v>738</v>
      </c>
    </row>
    <row r="26" customFormat="false" ht="15" hidden="false" customHeight="true" outlineLevel="0" collapsed="false">
      <c r="A26" s="1" t="s">
        <v>459</v>
      </c>
      <c r="D26" s="1" t="s">
        <v>616</v>
      </c>
      <c r="E26" s="1" t="s">
        <v>662</v>
      </c>
      <c r="F26" s="1" t="s">
        <v>739</v>
      </c>
    </row>
    <row r="27" customFormat="false" ht="15" hidden="false" customHeight="true" outlineLevel="0" collapsed="false">
      <c r="A27" s="1" t="s">
        <v>460</v>
      </c>
      <c r="D27" s="1" t="s">
        <v>617</v>
      </c>
      <c r="E27" s="1" t="s">
        <v>663</v>
      </c>
      <c r="F27" s="1" t="s">
        <v>740</v>
      </c>
    </row>
    <row r="28" customFormat="false" ht="15" hidden="false" customHeight="true" outlineLevel="0" collapsed="false">
      <c r="A28" s="1" t="s">
        <v>461</v>
      </c>
      <c r="D28" s="1" t="s">
        <v>618</v>
      </c>
      <c r="E28" s="1" t="s">
        <v>664</v>
      </c>
      <c r="F28" s="1" t="s">
        <v>741</v>
      </c>
    </row>
    <row r="29" customFormat="false" ht="15" hidden="false" customHeight="true" outlineLevel="0" collapsed="false">
      <c r="A29" s="1" t="s">
        <v>462</v>
      </c>
      <c r="D29" s="1" t="s">
        <v>619</v>
      </c>
      <c r="E29" s="1" t="s">
        <v>665</v>
      </c>
      <c r="F29" s="1" t="s">
        <v>742</v>
      </c>
    </row>
    <row r="30" customFormat="false" ht="15" hidden="false" customHeight="true" outlineLevel="0" collapsed="false">
      <c r="A30" s="1" t="s">
        <v>463</v>
      </c>
      <c r="D30" s="1" t="s">
        <v>620</v>
      </c>
      <c r="E30" s="1" t="s">
        <v>666</v>
      </c>
      <c r="F30" s="1" t="s">
        <v>743</v>
      </c>
    </row>
    <row r="31" customFormat="false" ht="15" hidden="false" customHeight="true" outlineLevel="0" collapsed="false">
      <c r="A31" s="1" t="s">
        <v>464</v>
      </c>
      <c r="D31" s="1" t="s">
        <v>621</v>
      </c>
      <c r="E31" s="1" t="s">
        <v>667</v>
      </c>
      <c r="F31" s="1" t="s">
        <v>744</v>
      </c>
    </row>
    <row r="32" customFormat="false" ht="15" hidden="false" customHeight="true" outlineLevel="0" collapsed="false">
      <c r="A32" s="1" t="s">
        <v>465</v>
      </c>
      <c r="D32" s="1" t="s">
        <v>622</v>
      </c>
      <c r="E32" s="1" t="s">
        <v>668</v>
      </c>
      <c r="F32" s="1" t="s">
        <v>745</v>
      </c>
    </row>
    <row r="33" customFormat="false" ht="15" hidden="false" customHeight="true" outlineLevel="0" collapsed="false">
      <c r="A33" s="1" t="s">
        <v>466</v>
      </c>
      <c r="D33" s="1" t="s">
        <v>623</v>
      </c>
      <c r="E33" s="1" t="s">
        <v>669</v>
      </c>
      <c r="F33" s="1" t="s">
        <v>746</v>
      </c>
    </row>
    <row r="34" customFormat="false" ht="15" hidden="false" customHeight="true" outlineLevel="0" collapsed="false">
      <c r="A34" s="1" t="s">
        <v>467</v>
      </c>
      <c r="D34" s="1" t="s">
        <v>624</v>
      </c>
      <c r="E34" s="1" t="s">
        <v>670</v>
      </c>
    </row>
    <row r="35" customFormat="false" ht="15" hidden="false" customHeight="true" outlineLevel="0" collapsed="false">
      <c r="A35" s="1" t="s">
        <v>468</v>
      </c>
      <c r="D35" s="1" t="s">
        <v>625</v>
      </c>
      <c r="E35" s="1" t="s">
        <v>671</v>
      </c>
    </row>
    <row r="36" customFormat="false" ht="15" hidden="false" customHeight="true" outlineLevel="0" collapsed="false">
      <c r="A36" s="1" t="s">
        <v>469</v>
      </c>
      <c r="D36" s="1" t="s">
        <v>626</v>
      </c>
      <c r="E36" s="1" t="s">
        <v>672</v>
      </c>
    </row>
    <row r="37" customFormat="false" ht="15" hidden="false" customHeight="true" outlineLevel="0" collapsed="false">
      <c r="A37" s="1" t="s">
        <v>470</v>
      </c>
      <c r="D37" s="1" t="s">
        <v>627</v>
      </c>
      <c r="E37" s="1" t="s">
        <v>673</v>
      </c>
    </row>
    <row r="38" customFormat="false" ht="15" hidden="false" customHeight="true" outlineLevel="0" collapsed="false">
      <c r="A38" s="1" t="s">
        <v>471</v>
      </c>
      <c r="D38" s="1" t="s">
        <v>628</v>
      </c>
      <c r="E38" s="1" t="s">
        <v>674</v>
      </c>
    </row>
    <row r="39" customFormat="false" ht="15" hidden="false" customHeight="true" outlineLevel="0" collapsed="false">
      <c r="A39" s="1" t="s">
        <v>472</v>
      </c>
      <c r="D39" s="1" t="s">
        <v>629</v>
      </c>
      <c r="E39" s="1" t="s">
        <v>675</v>
      </c>
    </row>
    <row r="40" customFormat="false" ht="15" hidden="false" customHeight="true" outlineLevel="0" collapsed="false">
      <c r="A40" s="1" t="s">
        <v>473</v>
      </c>
      <c r="D40" s="1" t="s">
        <v>630</v>
      </c>
      <c r="E40" s="1" t="s">
        <v>676</v>
      </c>
    </row>
    <row r="41" customFormat="false" ht="15" hidden="false" customHeight="true" outlineLevel="0" collapsed="false">
      <c r="A41" s="1" t="s">
        <v>474</v>
      </c>
      <c r="D41" s="1" t="s">
        <v>631</v>
      </c>
      <c r="E41" s="1" t="s">
        <v>677</v>
      </c>
    </row>
    <row r="42" customFormat="false" ht="15" hidden="false" customHeight="true" outlineLevel="0" collapsed="false">
      <c r="A42" s="1" t="s">
        <v>475</v>
      </c>
      <c r="D42" s="1" t="s">
        <v>632</v>
      </c>
    </row>
    <row r="43" customFormat="false" ht="15" hidden="false" customHeight="true" outlineLevel="0" collapsed="false">
      <c r="A43" s="1" t="s">
        <v>476</v>
      </c>
      <c r="D43" s="1" t="s">
        <v>633</v>
      </c>
    </row>
    <row r="44" customFormat="false" ht="15" hidden="false" customHeight="true" outlineLevel="0" collapsed="false">
      <c r="A44" s="1" t="s">
        <v>477</v>
      </c>
      <c r="D44" s="1" t="s">
        <v>634</v>
      </c>
    </row>
    <row r="45" customFormat="false" ht="15" hidden="false" customHeight="true" outlineLevel="0" collapsed="false">
      <c r="A45" s="1" t="s">
        <v>478</v>
      </c>
      <c r="D45" s="1" t="s">
        <v>635</v>
      </c>
    </row>
    <row r="46" customFormat="false" ht="15" hidden="false" customHeight="true" outlineLevel="0" collapsed="false">
      <c r="A46" s="1" t="s">
        <v>479</v>
      </c>
      <c r="D46" s="1" t="s">
        <v>636</v>
      </c>
    </row>
    <row r="47" customFormat="false" ht="15" hidden="false" customHeight="true" outlineLevel="0" collapsed="false">
      <c r="A47" s="1" t="s">
        <v>480</v>
      </c>
    </row>
    <row r="48" customFormat="false" ht="15" hidden="false" customHeight="true" outlineLevel="0" collapsed="false">
      <c r="A48" s="1" t="s">
        <v>481</v>
      </c>
    </row>
    <row r="49" customFormat="false" ht="15" hidden="false" customHeight="true" outlineLevel="0" collapsed="false">
      <c r="A49" s="1" t="s">
        <v>482</v>
      </c>
    </row>
    <row r="50" customFormat="false" ht="15" hidden="false" customHeight="true" outlineLevel="0" collapsed="false">
      <c r="A50" s="1" t="s">
        <v>483</v>
      </c>
    </row>
    <row r="51" customFormat="false" ht="15" hidden="false" customHeight="true" outlineLevel="0" collapsed="false">
      <c r="A51" s="1" t="s">
        <v>484</v>
      </c>
    </row>
    <row r="52" customFormat="false" ht="15" hidden="false" customHeight="true" outlineLevel="0" collapsed="false">
      <c r="A52" s="1" t="s">
        <v>485</v>
      </c>
    </row>
    <row r="53" customFormat="false" ht="15" hidden="false" customHeight="true" outlineLevel="0" collapsed="false">
      <c r="A53" s="1" t="s">
        <v>486</v>
      </c>
    </row>
    <row r="54" customFormat="false" ht="15" hidden="false" customHeight="true" outlineLevel="0" collapsed="false">
      <c r="A54" s="1" t="s">
        <v>487</v>
      </c>
    </row>
    <row r="55" customFormat="false" ht="15" hidden="false" customHeight="true" outlineLevel="0" collapsed="false">
      <c r="A55" s="1" t="s">
        <v>488</v>
      </c>
    </row>
    <row r="56" customFormat="false" ht="15" hidden="false" customHeight="true" outlineLevel="0" collapsed="false">
      <c r="A56" s="1" t="s">
        <v>489</v>
      </c>
    </row>
    <row r="57" customFormat="false" ht="15" hidden="false" customHeight="true" outlineLevel="0" collapsed="false">
      <c r="A57" s="1" t="s">
        <v>490</v>
      </c>
    </row>
    <row r="58" customFormat="false" ht="15" hidden="false" customHeight="true" outlineLevel="0" collapsed="false">
      <c r="A58" s="1" t="s">
        <v>491</v>
      </c>
    </row>
    <row r="59" customFormat="false" ht="15" hidden="false" customHeight="true" outlineLevel="0" collapsed="false">
      <c r="A59" s="1" t="s">
        <v>492</v>
      </c>
    </row>
    <row r="60" customFormat="false" ht="15" hidden="false" customHeight="true" outlineLevel="0" collapsed="false">
      <c r="A60" s="1" t="s">
        <v>493</v>
      </c>
    </row>
    <row r="61" customFormat="false" ht="15" hidden="false" customHeight="true" outlineLevel="0" collapsed="false">
      <c r="A61" s="1" t="s">
        <v>494</v>
      </c>
    </row>
    <row r="62" customFormat="false" ht="15" hidden="false" customHeight="true" outlineLevel="0" collapsed="false">
      <c r="A62" s="1" t="s">
        <v>495</v>
      </c>
    </row>
    <row r="63" customFormat="false" ht="15" hidden="false" customHeight="true" outlineLevel="0" collapsed="false">
      <c r="A63" s="1" t="s">
        <v>496</v>
      </c>
    </row>
    <row r="64" customFormat="false" ht="15" hidden="false" customHeight="true" outlineLevel="0" collapsed="false">
      <c r="A64" s="1" t="s">
        <v>497</v>
      </c>
    </row>
    <row r="65" customFormat="false" ht="15" hidden="false" customHeight="true" outlineLevel="0" collapsed="false">
      <c r="A65" s="1" t="s">
        <v>498</v>
      </c>
    </row>
    <row r="66" customFormat="false" ht="15" hidden="false" customHeight="true" outlineLevel="0" collapsed="false">
      <c r="A66" s="1" t="s">
        <v>499</v>
      </c>
    </row>
    <row r="67" customFormat="false" ht="15" hidden="false" customHeight="true" outlineLevel="0" collapsed="false">
      <c r="A67" s="1" t="s">
        <v>500</v>
      </c>
    </row>
    <row r="68" customFormat="false" ht="15" hidden="false" customHeight="true" outlineLevel="0" collapsed="false">
      <c r="A68" s="1" t="s">
        <v>501</v>
      </c>
    </row>
    <row r="69" customFormat="false" ht="15" hidden="false" customHeight="true" outlineLevel="0" collapsed="false">
      <c r="A69" s="1" t="s">
        <v>502</v>
      </c>
    </row>
    <row r="70" customFormat="false" ht="15" hidden="false" customHeight="true" outlineLevel="0" collapsed="false">
      <c r="A70" s="1" t="s">
        <v>503</v>
      </c>
    </row>
    <row r="71" customFormat="false" ht="15" hidden="false" customHeight="true" outlineLevel="0" collapsed="false">
      <c r="A71" s="1" t="s">
        <v>504</v>
      </c>
    </row>
    <row r="72" customFormat="false" ht="15" hidden="false" customHeight="true" outlineLevel="0" collapsed="false">
      <c r="A72" s="1" t="s">
        <v>505</v>
      </c>
    </row>
    <row r="73" customFormat="false" ht="15" hidden="false" customHeight="true" outlineLevel="0" collapsed="false">
      <c r="A73" s="1" t="s">
        <v>506</v>
      </c>
    </row>
    <row r="74" customFormat="false" ht="15" hidden="false" customHeight="true" outlineLevel="0" collapsed="false">
      <c r="A74" s="1" t="s">
        <v>507</v>
      </c>
    </row>
    <row r="75" customFormat="false" ht="15" hidden="false" customHeight="true" outlineLevel="0" collapsed="false">
      <c r="A75" s="1" t="s">
        <v>508</v>
      </c>
    </row>
    <row r="76" customFormat="false" ht="15" hidden="false" customHeight="true" outlineLevel="0" collapsed="false">
      <c r="A76" s="1" t="s">
        <v>509</v>
      </c>
    </row>
    <row r="77" customFormat="false" ht="15" hidden="false" customHeight="true" outlineLevel="0" collapsed="false">
      <c r="A77" s="1" t="s">
        <v>510</v>
      </c>
    </row>
    <row r="78" customFormat="false" ht="15" hidden="false" customHeight="true" outlineLevel="0" collapsed="false">
      <c r="A78" s="1" t="s">
        <v>511</v>
      </c>
    </row>
    <row r="79" customFormat="false" ht="15" hidden="false" customHeight="true" outlineLevel="0" collapsed="false">
      <c r="A79" s="1" t="s">
        <v>512</v>
      </c>
    </row>
    <row r="80" customFormat="false" ht="15" hidden="false" customHeight="true" outlineLevel="0" collapsed="false">
      <c r="A80" s="1" t="s">
        <v>513</v>
      </c>
    </row>
    <row r="81" customFormat="false" ht="15" hidden="false" customHeight="true" outlineLevel="0" collapsed="false">
      <c r="A81" s="1" t="s">
        <v>514</v>
      </c>
    </row>
    <row r="82" customFormat="false" ht="15" hidden="false" customHeight="true" outlineLevel="0" collapsed="false">
      <c r="A82" s="1" t="s">
        <v>515</v>
      </c>
    </row>
    <row r="83" customFormat="false" ht="15" hidden="false" customHeight="true" outlineLevel="0" collapsed="false">
      <c r="A83" s="1" t="s">
        <v>516</v>
      </c>
    </row>
    <row r="84" customFormat="false" ht="15" hidden="false" customHeight="true" outlineLevel="0" collapsed="false">
      <c r="A84" s="1" t="s">
        <v>517</v>
      </c>
    </row>
    <row r="85" customFormat="false" ht="15" hidden="false" customHeight="true" outlineLevel="0" collapsed="false">
      <c r="A85" s="1" t="s">
        <v>518</v>
      </c>
    </row>
    <row r="86" customFormat="false" ht="15" hidden="false" customHeight="true" outlineLevel="0" collapsed="false">
      <c r="A86" s="1" t="s">
        <v>519</v>
      </c>
    </row>
    <row r="87" customFormat="false" ht="15" hidden="false" customHeight="true" outlineLevel="0" collapsed="false">
      <c r="A87" s="1" t="s">
        <v>520</v>
      </c>
    </row>
    <row r="88" customFormat="false" ht="15" hidden="false" customHeight="true" outlineLevel="0" collapsed="false">
      <c r="A88" s="1" t="s">
        <v>521</v>
      </c>
    </row>
    <row r="89" customFormat="false" ht="15" hidden="false" customHeight="true" outlineLevel="0" collapsed="false">
      <c r="A89" s="1" t="s">
        <v>522</v>
      </c>
    </row>
    <row r="90" customFormat="false" ht="15" hidden="false" customHeight="true" outlineLevel="0" collapsed="false">
      <c r="A90" s="1" t="s">
        <v>523</v>
      </c>
    </row>
    <row r="91" customFormat="false" ht="15" hidden="false" customHeight="true" outlineLevel="0" collapsed="false">
      <c r="A91" s="1" t="s">
        <v>524</v>
      </c>
    </row>
    <row r="92" customFormat="false" ht="15" hidden="false" customHeight="true" outlineLevel="0" collapsed="false">
      <c r="A92" s="1" t="s">
        <v>525</v>
      </c>
    </row>
    <row r="93" customFormat="false" ht="15" hidden="false" customHeight="true" outlineLevel="0" collapsed="false">
      <c r="A93" s="1" t="s">
        <v>526</v>
      </c>
    </row>
    <row r="94" customFormat="false" ht="15" hidden="false" customHeight="true" outlineLevel="0" collapsed="false">
      <c r="A94" s="1" t="s">
        <v>527</v>
      </c>
    </row>
    <row r="95" customFormat="false" ht="15" hidden="false" customHeight="true" outlineLevel="0" collapsed="false">
      <c r="A95" s="1" t="s">
        <v>528</v>
      </c>
    </row>
    <row r="96" customFormat="false" ht="15" hidden="false" customHeight="true" outlineLevel="0" collapsed="false">
      <c r="A96" s="1" t="s">
        <v>529</v>
      </c>
    </row>
    <row r="97" customFormat="false" ht="15" hidden="false" customHeight="true" outlineLevel="0" collapsed="false">
      <c r="A97" s="1" t="s">
        <v>530</v>
      </c>
    </row>
    <row r="98" customFormat="false" ht="15" hidden="false" customHeight="true" outlineLevel="0" collapsed="false">
      <c r="A98" s="1" t="s">
        <v>531</v>
      </c>
    </row>
    <row r="99" customFormat="false" ht="15" hidden="false" customHeight="true" outlineLevel="0" collapsed="false">
      <c r="A99" s="1" t="s">
        <v>532</v>
      </c>
    </row>
    <row r="100" customFormat="false" ht="15" hidden="false" customHeight="true" outlineLevel="0" collapsed="false">
      <c r="A100" s="1" t="s">
        <v>533</v>
      </c>
    </row>
    <row r="101" customFormat="false" ht="15" hidden="false" customHeight="true" outlineLevel="0" collapsed="false">
      <c r="A101" s="1" t="s">
        <v>534</v>
      </c>
    </row>
    <row r="102" customFormat="false" ht="15" hidden="false" customHeight="true" outlineLevel="0" collapsed="false">
      <c r="A102" s="1" t="s">
        <v>535</v>
      </c>
    </row>
    <row r="103" customFormat="false" ht="15" hidden="false" customHeight="true" outlineLevel="0" collapsed="false">
      <c r="A103" s="1" t="s">
        <v>536</v>
      </c>
    </row>
    <row r="104" customFormat="false" ht="15" hidden="false" customHeight="true" outlineLevel="0" collapsed="false">
      <c r="A104" s="1" t="s">
        <v>537</v>
      </c>
    </row>
    <row r="105" customFormat="false" ht="15" hidden="false" customHeight="true" outlineLevel="0" collapsed="false">
      <c r="A105" s="1" t="s">
        <v>538</v>
      </c>
    </row>
    <row r="106" customFormat="false" ht="15" hidden="false" customHeight="true" outlineLevel="0" collapsed="false">
      <c r="A106" s="1" t="s">
        <v>539</v>
      </c>
    </row>
    <row r="107" customFormat="false" ht="15" hidden="false" customHeight="true" outlineLevel="0" collapsed="false">
      <c r="A107" s="1" t="s">
        <v>540</v>
      </c>
    </row>
    <row r="108" customFormat="false" ht="15" hidden="false" customHeight="true" outlineLevel="0" collapsed="false">
      <c r="A108" s="1" t="s">
        <v>541</v>
      </c>
    </row>
    <row r="109" customFormat="false" ht="15" hidden="false" customHeight="true" outlineLevel="0" collapsed="false">
      <c r="A109" s="1" t="s">
        <v>542</v>
      </c>
    </row>
    <row r="110" customFormat="false" ht="15" hidden="false" customHeight="true" outlineLevel="0" collapsed="false">
      <c r="A110" s="1" t="s">
        <v>543</v>
      </c>
    </row>
    <row r="111" customFormat="false" ht="15" hidden="false" customHeight="true" outlineLevel="0" collapsed="false">
      <c r="A111" s="1" t="s">
        <v>544</v>
      </c>
    </row>
    <row r="112" customFormat="false" ht="15" hidden="false" customHeight="true" outlineLevel="0" collapsed="false">
      <c r="A112" s="1" t="s">
        <v>545</v>
      </c>
    </row>
    <row r="113" customFormat="false" ht="15" hidden="false" customHeight="true" outlineLevel="0" collapsed="false">
      <c r="A113" s="1" t="s">
        <v>546</v>
      </c>
    </row>
    <row r="114" customFormat="false" ht="15" hidden="false" customHeight="true" outlineLevel="0" collapsed="false">
      <c r="A114" s="1" t="s">
        <v>547</v>
      </c>
    </row>
    <row r="115" customFormat="false" ht="15" hidden="false" customHeight="true" outlineLevel="0" collapsed="false">
      <c r="A115" s="1" t="s">
        <v>548</v>
      </c>
    </row>
    <row r="116" customFormat="false" ht="15" hidden="false" customHeight="true" outlineLevel="0" collapsed="false">
      <c r="A116" s="1" t="s">
        <v>549</v>
      </c>
    </row>
    <row r="117" customFormat="false" ht="15" hidden="false" customHeight="true" outlineLevel="0" collapsed="false">
      <c r="A117" s="1" t="s">
        <v>550</v>
      </c>
    </row>
    <row r="118" customFormat="false" ht="15" hidden="false" customHeight="true" outlineLevel="0" collapsed="false">
      <c r="A118" s="1" t="s">
        <v>551</v>
      </c>
    </row>
    <row r="119" customFormat="false" ht="15" hidden="false" customHeight="true" outlineLevel="0" collapsed="false">
      <c r="A119" s="1" t="s">
        <v>552</v>
      </c>
    </row>
    <row r="120" customFormat="false" ht="15" hidden="false" customHeight="true" outlineLevel="0" collapsed="false">
      <c r="A120" s="1" t="s">
        <v>553</v>
      </c>
    </row>
    <row r="121" customFormat="false" ht="15" hidden="false" customHeight="true" outlineLevel="0" collapsed="false">
      <c r="A121" s="1" t="s">
        <v>554</v>
      </c>
    </row>
    <row r="122" customFormat="false" ht="15" hidden="false" customHeight="true" outlineLevel="0" collapsed="false">
      <c r="A122" s="1" t="s">
        <v>555</v>
      </c>
    </row>
    <row r="123" customFormat="false" ht="15" hidden="false" customHeight="true" outlineLevel="0" collapsed="false">
      <c r="A123" s="1" t="s">
        <v>556</v>
      </c>
    </row>
    <row r="124" customFormat="false" ht="15" hidden="false" customHeight="true" outlineLevel="0" collapsed="false">
      <c r="A124" s="1" t="s">
        <v>557</v>
      </c>
    </row>
    <row r="125" customFormat="false" ht="15" hidden="false" customHeight="true" outlineLevel="0" collapsed="false">
      <c r="A125" s="1" t="s">
        <v>558</v>
      </c>
    </row>
    <row r="126" customFormat="false" ht="15" hidden="false" customHeight="true" outlineLevel="0" collapsed="false">
      <c r="A126" s="1" t="s">
        <v>559</v>
      </c>
    </row>
    <row r="127" customFormat="false" ht="15" hidden="false" customHeight="true" outlineLevel="0" collapsed="false">
      <c r="A127" s="1" t="s">
        <v>560</v>
      </c>
    </row>
    <row r="128" customFormat="false" ht="15" hidden="false" customHeight="true" outlineLevel="0" collapsed="false">
      <c r="A128" s="1" t="s">
        <v>561</v>
      </c>
    </row>
    <row r="129" customFormat="false" ht="15" hidden="false" customHeight="true" outlineLevel="0" collapsed="false">
      <c r="A129" s="1" t="s">
        <v>562</v>
      </c>
    </row>
    <row r="130" customFormat="false" ht="15" hidden="false" customHeight="true" outlineLevel="0" collapsed="false">
      <c r="A130" s="1" t="s">
        <v>563</v>
      </c>
    </row>
    <row r="131" customFormat="false" ht="15" hidden="false" customHeight="true" outlineLevel="0" collapsed="false">
      <c r="A131" s="1" t="s">
        <v>564</v>
      </c>
    </row>
    <row r="132" customFormat="false" ht="15" hidden="false" customHeight="true" outlineLevel="0" collapsed="false">
      <c r="A132" s="1" t="s">
        <v>565</v>
      </c>
    </row>
    <row r="133" customFormat="false" ht="15" hidden="false" customHeight="true" outlineLevel="0" collapsed="false">
      <c r="A133" s="1" t="s">
        <v>566</v>
      </c>
    </row>
    <row r="134" customFormat="false" ht="15" hidden="false" customHeight="true" outlineLevel="0" collapsed="false">
      <c r="A134" s="1" t="s">
        <v>567</v>
      </c>
    </row>
    <row r="135" customFormat="false" ht="15" hidden="false" customHeight="true" outlineLevel="0" collapsed="false">
      <c r="A135" s="1" t="s">
        <v>568</v>
      </c>
    </row>
    <row r="136" customFormat="false" ht="15" hidden="false" customHeight="true" outlineLevel="0" collapsed="false">
      <c r="A136" s="1" t="s">
        <v>569</v>
      </c>
    </row>
    <row r="137" customFormat="false" ht="15" hidden="false" customHeight="true" outlineLevel="0" collapsed="false">
      <c r="A137" s="1" t="s">
        <v>570</v>
      </c>
    </row>
    <row r="138" customFormat="false" ht="15" hidden="false" customHeight="true" outlineLevel="0" collapsed="false">
      <c r="A138" s="1" t="s">
        <v>571</v>
      </c>
    </row>
    <row r="139" customFormat="false" ht="15" hidden="false" customHeight="true" outlineLevel="0" collapsed="false">
      <c r="A139" s="1" t="s">
        <v>572</v>
      </c>
    </row>
    <row r="140" customFormat="false" ht="15" hidden="false" customHeight="true" outlineLevel="0" collapsed="false">
      <c r="A140" s="1" t="s">
        <v>573</v>
      </c>
    </row>
    <row r="141" customFormat="false" ht="15" hidden="false" customHeight="true" outlineLevel="0" collapsed="false">
      <c r="A141" s="1" t="s">
        <v>574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16.5" hidden="false" customHeight="true" outlineLevel="0" collapsed="false">
      <c r="A1" s="17" t="s">
        <v>285</v>
      </c>
      <c r="B1" s="17" t="s">
        <v>288</v>
      </c>
      <c r="C1" s="17" t="s">
        <v>290</v>
      </c>
      <c r="D1" s="17" t="s">
        <v>291</v>
      </c>
      <c r="E1" s="17" t="s">
        <v>786</v>
      </c>
      <c r="F1" s="17" t="s">
        <v>787</v>
      </c>
      <c r="G1" s="17" t="s">
        <v>433</v>
      </c>
    </row>
    <row r="2" customFormat="false" ht="15" hidden="false" customHeight="true" outlineLevel="0" collapsed="false">
      <c r="A2" s="1" t="s">
        <v>788</v>
      </c>
      <c r="B2" s="1" t="n">
        <v>20</v>
      </c>
      <c r="C2" s="1" t="n">
        <v>3</v>
      </c>
      <c r="D2" s="1" t="n">
        <v>30</v>
      </c>
      <c r="E2" s="1" t="n">
        <v>100</v>
      </c>
      <c r="F2" s="1" t="n">
        <f aca="false">ROUND(C2*B2/D2*7850/1000000*1000+2,1)</f>
        <v>17.7</v>
      </c>
      <c r="G2" s="42" t="s">
        <v>789</v>
      </c>
    </row>
    <row r="3" customFormat="false" ht="15" hidden="false" customHeight="true" outlineLevel="0" collapsed="false">
      <c r="A3" s="1" t="s">
        <v>790</v>
      </c>
      <c r="B3" s="1" t="n">
        <v>25</v>
      </c>
      <c r="C3" s="1" t="n">
        <v>3</v>
      </c>
      <c r="D3" s="1" t="n">
        <v>30</v>
      </c>
      <c r="E3" s="1" t="n">
        <v>100</v>
      </c>
      <c r="F3" s="1" t="n">
        <f aca="false">ROUND(C3*B3/D3*7850/1000000*1000+2,1)</f>
        <v>21.6</v>
      </c>
      <c r="G3" s="42" t="s">
        <v>791</v>
      </c>
    </row>
    <row r="4" customFormat="false" ht="15" hidden="false" customHeight="true" outlineLevel="0" collapsed="false">
      <c r="A4" s="1" t="s">
        <v>792</v>
      </c>
      <c r="B4" s="1" t="n">
        <v>25</v>
      </c>
      <c r="C4" s="1" t="n">
        <v>3</v>
      </c>
      <c r="D4" s="1" t="n">
        <v>30</v>
      </c>
      <c r="E4" s="1" t="n">
        <v>200</v>
      </c>
      <c r="F4" s="1" t="n">
        <f aca="false">ROUND(C4*B4/D4*7850/1000000*1000+2,1)</f>
        <v>21.6</v>
      </c>
      <c r="G4" s="42" t="s">
        <v>793</v>
      </c>
    </row>
    <row r="5" customFormat="false" ht="15" hidden="false" customHeight="true" outlineLevel="0" collapsed="false">
      <c r="A5" s="1" t="s">
        <v>794</v>
      </c>
      <c r="B5" s="1" t="n">
        <v>25</v>
      </c>
      <c r="C5" s="1" t="n">
        <v>3</v>
      </c>
      <c r="D5" s="1" t="n">
        <v>40</v>
      </c>
      <c r="E5" s="1" t="n">
        <v>200</v>
      </c>
      <c r="F5" s="1" t="n">
        <f aca="false">ROUND(C5*B5/D5*7850/1000000*1000+2,1)</f>
        <v>16.7</v>
      </c>
      <c r="G5" s="42" t="s">
        <v>793</v>
      </c>
    </row>
    <row r="6" customFormat="false" ht="15" hidden="false" customHeight="true" outlineLevel="0" collapsed="false">
      <c r="A6" s="1" t="s">
        <v>795</v>
      </c>
      <c r="B6" s="1" t="n">
        <v>25</v>
      </c>
      <c r="C6" s="1" t="n">
        <v>5</v>
      </c>
      <c r="D6" s="1" t="n">
        <v>30</v>
      </c>
      <c r="E6" s="1" t="n">
        <v>100</v>
      </c>
      <c r="F6" s="1" t="n">
        <f aca="false">ROUND(C6*B6/D6*7850/1000000*1000+2,1)</f>
        <v>34.7</v>
      </c>
      <c r="G6" s="42" t="s">
        <v>796</v>
      </c>
    </row>
    <row r="7" customFormat="false" ht="15" hidden="false" customHeight="true" outlineLevel="0" collapsed="false">
      <c r="A7" s="1" t="s">
        <v>797</v>
      </c>
      <c r="B7" s="1" t="n">
        <v>25</v>
      </c>
      <c r="C7" s="1" t="n">
        <v>5</v>
      </c>
      <c r="D7" s="1" t="n">
        <v>30</v>
      </c>
      <c r="E7" s="1" t="n">
        <v>200</v>
      </c>
      <c r="F7" s="1" t="n">
        <f aca="false">ROUND(C7*B7/D7*7850/1000000*1000+2,1)</f>
        <v>34.7</v>
      </c>
      <c r="G7" s="42" t="s">
        <v>798</v>
      </c>
    </row>
    <row r="8" customFormat="false" ht="15" hidden="false" customHeight="true" outlineLevel="0" collapsed="false">
      <c r="A8" s="1" t="s">
        <v>799</v>
      </c>
      <c r="B8" s="1" t="n">
        <v>25</v>
      </c>
      <c r="C8" s="1" t="n">
        <v>5</v>
      </c>
      <c r="D8" s="1" t="n">
        <v>40</v>
      </c>
      <c r="E8" s="1" t="n">
        <v>200</v>
      </c>
      <c r="F8" s="1" t="n">
        <f aca="false">ROUND(C8*B8/D8*7850/1000000*1000+2,1)</f>
        <v>26.5</v>
      </c>
      <c r="G8" s="42" t="s">
        <v>798</v>
      </c>
    </row>
    <row r="9" customFormat="false" ht="15" hidden="false" customHeight="true" outlineLevel="0" collapsed="false">
      <c r="A9" s="1" t="s">
        <v>800</v>
      </c>
      <c r="B9" s="1" t="n">
        <v>30</v>
      </c>
      <c r="C9" s="1" t="n">
        <v>3</v>
      </c>
      <c r="D9" s="1" t="n">
        <v>30</v>
      </c>
      <c r="E9" s="1" t="n">
        <v>200</v>
      </c>
      <c r="F9" s="1" t="n">
        <f aca="false">ROUND(C9*B9/D9*7850/1000000*1000+2,1)</f>
        <v>25.6</v>
      </c>
      <c r="G9" s="42" t="s">
        <v>801</v>
      </c>
    </row>
    <row r="10" customFormat="false" ht="15" hidden="false" customHeight="true" outlineLevel="0" collapsed="false">
      <c r="A10" s="1" t="s">
        <v>802</v>
      </c>
      <c r="B10" s="1" t="n">
        <v>30</v>
      </c>
      <c r="C10" s="1" t="n">
        <v>5</v>
      </c>
      <c r="D10" s="1" t="n">
        <v>30</v>
      </c>
      <c r="E10" s="1" t="n">
        <v>100</v>
      </c>
      <c r="F10" s="1" t="n">
        <f aca="false">ROUND(C10*B10/D10*7850/1000000*1000+2,1)</f>
        <v>41.3</v>
      </c>
      <c r="G10" s="42" t="s">
        <v>801</v>
      </c>
    </row>
    <row r="11" customFormat="false" ht="15" hidden="false" customHeight="true" outlineLevel="0" collapsed="false">
      <c r="A11" s="1" t="s">
        <v>803</v>
      </c>
      <c r="B11" s="1" t="n">
        <v>30</v>
      </c>
      <c r="C11" s="1" t="n">
        <v>5</v>
      </c>
      <c r="D11" s="1" t="n">
        <v>40</v>
      </c>
      <c r="E11" s="1" t="n">
        <v>200</v>
      </c>
      <c r="F11" s="1" t="n">
        <f aca="false">ROUND(C11*B11/D11*7850/1000000*1000+2,1)</f>
        <v>31.4</v>
      </c>
      <c r="G11" s="42" t="s">
        <v>801</v>
      </c>
    </row>
    <row r="12" customFormat="false" ht="15" hidden="false" customHeight="true" outlineLevel="0" collapsed="false">
      <c r="A12" s="1" t="s">
        <v>804</v>
      </c>
      <c r="B12" s="1" t="n">
        <v>32</v>
      </c>
      <c r="C12" s="1" t="n">
        <v>5</v>
      </c>
      <c r="D12" s="1" t="n">
        <v>30</v>
      </c>
      <c r="E12" s="1" t="n">
        <v>100</v>
      </c>
      <c r="F12" s="1" t="n">
        <f aca="false">ROUND(C12*B12/D12*7850/1000000*1000+2,1)</f>
        <v>43.9</v>
      </c>
      <c r="G12" s="42" t="s">
        <v>805</v>
      </c>
    </row>
    <row r="13" customFormat="false" ht="15" hidden="false" customHeight="true" outlineLevel="0" collapsed="false">
      <c r="A13" s="1" t="s">
        <v>806</v>
      </c>
      <c r="B13" s="1" t="n">
        <v>32</v>
      </c>
      <c r="C13" s="1" t="n">
        <v>5</v>
      </c>
      <c r="D13" s="1" t="n">
        <v>40</v>
      </c>
      <c r="E13" s="1" t="n">
        <v>200</v>
      </c>
      <c r="F13" s="1" t="n">
        <f aca="false">ROUND(C13*B13/D13*7850/1000000*1000+2,1)</f>
        <v>33.4</v>
      </c>
      <c r="G13" s="42" t="s">
        <v>805</v>
      </c>
    </row>
    <row r="14" customFormat="false" ht="15" hidden="false" customHeight="true" outlineLevel="0" collapsed="false">
      <c r="A14" s="1" t="s">
        <v>807</v>
      </c>
      <c r="B14" s="1" t="n">
        <v>40</v>
      </c>
      <c r="C14" s="1" t="n">
        <v>5</v>
      </c>
      <c r="D14" s="1" t="n">
        <v>30</v>
      </c>
      <c r="E14" s="1" t="n">
        <v>100</v>
      </c>
      <c r="F14" s="1" t="n">
        <f aca="false">ROUND(C14*B14/D14*7850/1000000*1000+2,1)</f>
        <v>54.3</v>
      </c>
      <c r="G14" s="42" t="s">
        <v>808</v>
      </c>
    </row>
    <row r="15" customFormat="false" ht="15" hidden="false" customHeight="true" outlineLevel="0" collapsed="false">
      <c r="A15" s="1" t="s">
        <v>809</v>
      </c>
      <c r="B15" s="1" t="n">
        <v>40</v>
      </c>
      <c r="C15" s="1" t="n">
        <v>5</v>
      </c>
      <c r="D15" s="1" t="n">
        <v>40</v>
      </c>
      <c r="E15" s="1" t="n">
        <v>200</v>
      </c>
      <c r="F15" s="1" t="n">
        <f aca="false">ROUND(C15*B15/D15*7850/1000000*1000+2,1)</f>
        <v>41.3</v>
      </c>
      <c r="G15" s="42" t="s">
        <v>808</v>
      </c>
    </row>
    <row r="16" customFormat="false" ht="15" hidden="false" customHeight="true" outlineLevel="0" collapsed="false">
      <c r="A16" s="1" t="s">
        <v>810</v>
      </c>
      <c r="B16" s="1" t="n">
        <v>40</v>
      </c>
      <c r="C16" s="1" t="n">
        <v>6</v>
      </c>
      <c r="D16" s="1" t="n">
        <v>30</v>
      </c>
      <c r="E16" s="1" t="n">
        <v>100</v>
      </c>
      <c r="F16" s="1" t="n">
        <f aca="false">ROUND(C16*B16/D16*7850/1000000*1000+2,1)</f>
        <v>64.8</v>
      </c>
      <c r="G16" s="42" t="s">
        <v>811</v>
      </c>
    </row>
    <row r="17" customFormat="false" ht="15" hidden="false" customHeight="true" outlineLevel="0" collapsed="false">
      <c r="A17" s="1" t="s">
        <v>812</v>
      </c>
      <c r="B17" s="1" t="n">
        <v>50</v>
      </c>
      <c r="C17" s="1" t="n">
        <v>5</v>
      </c>
      <c r="D17" s="1" t="n">
        <v>30</v>
      </c>
      <c r="E17" s="1" t="n">
        <v>100</v>
      </c>
      <c r="F17" s="1" t="n">
        <f aca="false">ROUND(C17*B17/D17*7850/1000000*1000+2,1)</f>
        <v>67.4</v>
      </c>
      <c r="G17" s="42" t="s">
        <v>813</v>
      </c>
    </row>
    <row r="18" customFormat="false" ht="15" hidden="false" customHeight="true" outlineLevel="0" collapsed="false">
      <c r="A18" s="1" t="s">
        <v>814</v>
      </c>
      <c r="B18" s="1" t="n">
        <v>50</v>
      </c>
      <c r="C18" s="1" t="n">
        <v>5</v>
      </c>
      <c r="D18" s="1" t="n">
        <v>40</v>
      </c>
      <c r="E18" s="1" t="n">
        <v>100</v>
      </c>
      <c r="F18" s="1" t="n">
        <f aca="false">ROUND(C18*B18/D18*7850/1000000*1000+2,1)</f>
        <v>51.1</v>
      </c>
      <c r="G18" s="42" t="s">
        <v>813</v>
      </c>
    </row>
    <row r="19" customFormat="false" ht="15" hidden="false" customHeight="true" outlineLevel="0" collapsed="false">
      <c r="A19" s="1" t="s">
        <v>815</v>
      </c>
      <c r="B19" s="1" t="n">
        <v>50</v>
      </c>
      <c r="C19" s="1" t="n">
        <v>6</v>
      </c>
      <c r="D19" s="1" t="n">
        <v>30</v>
      </c>
      <c r="E19" s="1" t="n">
        <v>100</v>
      </c>
      <c r="F19" s="1" t="n">
        <f aca="false">ROUND(C19*B19/D19*7850/1000000*1000+2,1)</f>
        <v>80.5</v>
      </c>
      <c r="G19" s="42" t="s">
        <v>816</v>
      </c>
    </row>
    <row r="20" customFormat="false" ht="15" hidden="false" customHeight="true" outlineLevel="0" collapsed="false">
      <c r="A20" s="1" t="s">
        <v>817</v>
      </c>
      <c r="B20" s="1" t="n">
        <v>50</v>
      </c>
      <c r="C20" s="1" t="n">
        <v>8</v>
      </c>
      <c r="D20" s="1" t="n">
        <v>30</v>
      </c>
      <c r="E20" s="1" t="n">
        <v>100</v>
      </c>
      <c r="F20" s="1" t="n">
        <f aca="false">ROUND(C20*B20/D20*7850/1000000*1000+2,1)</f>
        <v>106.7</v>
      </c>
      <c r="G20" s="42" t="s">
        <v>818</v>
      </c>
    </row>
    <row r="21" customFormat="false" ht="15" hidden="false" customHeight="true" outlineLevel="0" collapsed="false">
      <c r="A21" s="1" t="s">
        <v>819</v>
      </c>
      <c r="B21" s="1" t="n">
        <v>65</v>
      </c>
      <c r="C21" s="1" t="n">
        <v>8</v>
      </c>
      <c r="D21" s="1" t="n">
        <v>30</v>
      </c>
      <c r="E21" s="1" t="n">
        <v>100</v>
      </c>
      <c r="F21" s="1" t="n">
        <f aca="false">ROUND(C21*B21/D21*7850/1000000*1000+2,1)</f>
        <v>138.1</v>
      </c>
      <c r="G21" s="42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16.5" hidden="false" customHeight="true" outlineLevel="0" collapsed="false">
      <c r="A1" s="19" t="s">
        <v>821</v>
      </c>
      <c r="B1" s="17" t="s">
        <v>331</v>
      </c>
      <c r="C1" s="17" t="s">
        <v>822</v>
      </c>
      <c r="D1" s="17" t="s">
        <v>823</v>
      </c>
      <c r="E1" s="19" t="s">
        <v>332</v>
      </c>
      <c r="F1" s="19" t="s">
        <v>824</v>
      </c>
      <c r="G1" s="19" t="s">
        <v>333</v>
      </c>
      <c r="H1" s="17" t="s">
        <v>433</v>
      </c>
    </row>
    <row r="2" customFormat="false" ht="15" hidden="false" customHeight="true" outlineLevel="0" collapsed="false">
      <c r="A2" s="1" t="s">
        <v>825</v>
      </c>
      <c r="B2" s="1" t="n">
        <v>50</v>
      </c>
      <c r="C2" s="1" t="n">
        <v>600</v>
      </c>
      <c r="D2" s="1" t="n">
        <v>0.8</v>
      </c>
      <c r="E2" s="1" t="n">
        <v>1017</v>
      </c>
      <c r="F2" s="1" t="n">
        <v>234000</v>
      </c>
      <c r="G2" s="1" t="n">
        <v>9.5</v>
      </c>
      <c r="H2" s="42" t="s">
        <v>826</v>
      </c>
    </row>
    <row r="3" customFormat="false" ht="15" hidden="false" customHeight="true" outlineLevel="0" collapsed="false">
      <c r="A3" s="1" t="s">
        <v>827</v>
      </c>
      <c r="B3" s="1" t="n">
        <v>50</v>
      </c>
      <c r="C3" s="1" t="n">
        <v>600</v>
      </c>
      <c r="D3" s="1" t="n">
        <v>1</v>
      </c>
      <c r="E3" s="1" t="n">
        <v>1271</v>
      </c>
      <c r="F3" s="1" t="n">
        <v>289000</v>
      </c>
      <c r="G3" s="1" t="n">
        <v>11.8</v>
      </c>
      <c r="H3" s="42" t="s">
        <v>826</v>
      </c>
    </row>
    <row r="4" customFormat="false" ht="15" hidden="false" customHeight="true" outlineLevel="0" collapsed="false">
      <c r="A4" s="1" t="s">
        <v>828</v>
      </c>
      <c r="B4" s="1" t="n">
        <v>50</v>
      </c>
      <c r="C4" s="1" t="n">
        <v>600</v>
      </c>
      <c r="D4" s="1" t="n">
        <v>1.2</v>
      </c>
      <c r="E4" s="1" t="n">
        <v>1525</v>
      </c>
      <c r="F4" s="1" t="n">
        <v>342000</v>
      </c>
      <c r="G4" s="1" t="n">
        <v>14.2</v>
      </c>
      <c r="H4" s="42" t="s">
        <v>826</v>
      </c>
    </row>
    <row r="5" customFormat="false" ht="15" hidden="false" customHeight="true" outlineLevel="0" collapsed="false">
      <c r="A5" s="1" t="s">
        <v>829</v>
      </c>
      <c r="B5" s="1" t="n">
        <v>75</v>
      </c>
      <c r="C5" s="1" t="n">
        <v>600</v>
      </c>
      <c r="D5" s="1" t="n">
        <v>0.8</v>
      </c>
      <c r="E5" s="1" t="n">
        <v>1017</v>
      </c>
      <c r="F5" s="1" t="n">
        <v>456000</v>
      </c>
      <c r="G5" s="1" t="n">
        <v>10.2</v>
      </c>
      <c r="H5" s="42" t="s">
        <v>830</v>
      </c>
    </row>
    <row r="6" customFormat="false" ht="15" hidden="false" customHeight="true" outlineLevel="0" collapsed="false">
      <c r="A6" s="1" t="s">
        <v>831</v>
      </c>
      <c r="B6" s="1" t="n">
        <v>75</v>
      </c>
      <c r="C6" s="1" t="n">
        <v>600</v>
      </c>
      <c r="D6" s="1" t="n">
        <v>1</v>
      </c>
      <c r="E6" s="1" t="n">
        <v>1271</v>
      </c>
      <c r="F6" s="1" t="n">
        <v>564000</v>
      </c>
      <c r="G6" s="1" t="n">
        <v>12.7</v>
      </c>
      <c r="H6" s="42" t="s">
        <v>830</v>
      </c>
    </row>
    <row r="7" customFormat="false" ht="15" hidden="false" customHeight="true" outlineLevel="0" collapsed="false">
      <c r="A7" s="1" t="s">
        <v>832</v>
      </c>
      <c r="B7" s="1" t="n">
        <v>75</v>
      </c>
      <c r="C7" s="1" t="n">
        <v>600</v>
      </c>
      <c r="D7" s="1" t="n">
        <v>1.2</v>
      </c>
      <c r="E7" s="1" t="n">
        <v>1525</v>
      </c>
      <c r="F7" s="1" t="n">
        <v>670000</v>
      </c>
      <c r="G7" s="1" t="n">
        <v>15.2</v>
      </c>
      <c r="H7" s="42" t="s">
        <v>830</v>
      </c>
    </row>
    <row r="8" customFormat="false" ht="15" hidden="false" customHeight="true" outlineLevel="0" collapsed="false">
      <c r="A8" s="1" t="s">
        <v>833</v>
      </c>
      <c r="B8" s="1" t="n">
        <v>75</v>
      </c>
      <c r="C8" s="1" t="n">
        <v>600</v>
      </c>
      <c r="D8" s="1" t="n">
        <v>0.8</v>
      </c>
      <c r="E8" s="1" t="n">
        <v>1017</v>
      </c>
      <c r="F8" s="1" t="n">
        <v>520000</v>
      </c>
      <c r="G8" s="1" t="n">
        <v>10.8</v>
      </c>
      <c r="H8" s="42" t="s">
        <v>834</v>
      </c>
    </row>
    <row r="9" customFormat="false" ht="15" hidden="false" customHeight="true" outlineLevel="0" collapsed="false">
      <c r="A9" s="1" t="s">
        <v>835</v>
      </c>
      <c r="B9" s="1" t="n">
        <v>75</v>
      </c>
      <c r="C9" s="1" t="n">
        <v>600</v>
      </c>
      <c r="D9" s="1" t="n">
        <v>1</v>
      </c>
      <c r="E9" s="1" t="n">
        <v>1271</v>
      </c>
      <c r="F9" s="1" t="n">
        <v>648000</v>
      </c>
      <c r="G9" s="1" t="n">
        <v>13.5</v>
      </c>
      <c r="H9" s="42" t="s">
        <v>834</v>
      </c>
    </row>
    <row r="10" customFormat="false" ht="15" hidden="false" customHeight="true" outlineLevel="0" collapsed="false">
      <c r="A10" s="1" t="s">
        <v>836</v>
      </c>
      <c r="B10" s="1" t="n">
        <v>75</v>
      </c>
      <c r="C10" s="1" t="n">
        <v>600</v>
      </c>
      <c r="D10" s="1" t="n">
        <v>1.2</v>
      </c>
      <c r="E10" s="1" t="n">
        <v>1525</v>
      </c>
      <c r="F10" s="1" t="n">
        <v>775000</v>
      </c>
      <c r="G10" s="1" t="n">
        <v>16.2</v>
      </c>
      <c r="H10" s="42" t="s">
        <v>834</v>
      </c>
    </row>
    <row r="11" customFormat="false" ht="15" hidden="false" customHeight="true" outlineLevel="0" collapsed="false">
      <c r="A11" s="1" t="s">
        <v>837</v>
      </c>
      <c r="B11" s="1" t="n">
        <v>100</v>
      </c>
      <c r="C11" s="1" t="n">
        <v>600</v>
      </c>
      <c r="D11" s="1" t="n">
        <v>0.8</v>
      </c>
      <c r="E11" s="1" t="n">
        <v>1017</v>
      </c>
      <c r="F11" s="1" t="n">
        <v>750000</v>
      </c>
      <c r="G11" s="1" t="n">
        <v>12.5</v>
      </c>
      <c r="H11" s="42" t="s">
        <v>838</v>
      </c>
    </row>
    <row r="12" customFormat="false" ht="15" hidden="false" customHeight="true" outlineLevel="0" collapsed="false">
      <c r="A12" s="1" t="s">
        <v>839</v>
      </c>
      <c r="B12" s="1" t="n">
        <v>100</v>
      </c>
      <c r="C12" s="1" t="n">
        <v>600</v>
      </c>
      <c r="D12" s="1" t="n">
        <v>1</v>
      </c>
      <c r="E12" s="1" t="n">
        <v>1271</v>
      </c>
      <c r="F12" s="1" t="n">
        <v>890000</v>
      </c>
      <c r="G12" s="1" t="n">
        <v>14.8</v>
      </c>
      <c r="H12" s="42" t="s">
        <v>838</v>
      </c>
    </row>
    <row r="13" customFormat="false" ht="15" hidden="false" customHeight="true" outlineLevel="0" collapsed="false">
      <c r="A13" s="1" t="s">
        <v>329</v>
      </c>
      <c r="B13" s="1" t="n">
        <v>100</v>
      </c>
      <c r="C13" s="1" t="n">
        <v>600</v>
      </c>
      <c r="D13" s="1" t="n">
        <v>1.2</v>
      </c>
      <c r="E13" s="1" t="n">
        <v>1525</v>
      </c>
      <c r="F13" s="1" t="n">
        <v>1060000</v>
      </c>
      <c r="G13" s="1" t="n">
        <v>17.6</v>
      </c>
      <c r="H13" s="42" t="s">
        <v>838</v>
      </c>
    </row>
    <row r="15" customFormat="false" ht="18.75" hidden="false" customHeight="true" outlineLevel="0" collapsed="false">
      <c r="A15" s="79" t="s">
        <v>840</v>
      </c>
    </row>
    <row r="16" customFormat="false" ht="16.5" hidden="false" customHeight="true" outlineLevel="0" collapsed="false">
      <c r="A16" s="19" t="s">
        <v>841</v>
      </c>
      <c r="B16" s="17" t="s">
        <v>842</v>
      </c>
      <c r="C16" s="17" t="s">
        <v>843</v>
      </c>
      <c r="D16" s="17" t="s">
        <v>844</v>
      </c>
      <c r="E16" s="19" t="s">
        <v>845</v>
      </c>
      <c r="F16" s="19" t="s">
        <v>846</v>
      </c>
      <c r="G16" s="19" t="s">
        <v>847</v>
      </c>
    </row>
    <row r="17" customFormat="false" ht="15" hidden="false" customHeight="true" outlineLevel="0" collapsed="false">
      <c r="A17" s="1" t="s">
        <v>848</v>
      </c>
      <c r="B17" s="1" t="n">
        <v>3.2</v>
      </c>
      <c r="C17" s="1" t="n">
        <v>100</v>
      </c>
      <c r="D17" s="1" t="n">
        <v>100</v>
      </c>
      <c r="E17" s="1" t="n">
        <f aca="false">ROUND(PI()/4*B17^2*(1000/C17),1)</f>
        <v>80.4</v>
      </c>
      <c r="F17" s="1" t="n">
        <f aca="false">ROUND(PI()/4*B17^2*(1000/D17),1)</f>
        <v>80.4</v>
      </c>
      <c r="G17" s="1" t="n">
        <v>490</v>
      </c>
    </row>
    <row r="18" customFormat="false" ht="15" hidden="false" customHeight="true" outlineLevel="0" collapsed="false">
      <c r="A18" s="1" t="s">
        <v>849</v>
      </c>
      <c r="B18" s="1" t="n">
        <v>3.2</v>
      </c>
      <c r="C18" s="1" t="n">
        <v>150</v>
      </c>
      <c r="D18" s="1" t="n">
        <v>150</v>
      </c>
      <c r="E18" s="1" t="n">
        <f aca="false">ROUND(PI()/4*B18^2*(1000/C18),1)</f>
        <v>53.6</v>
      </c>
      <c r="F18" s="1" t="n">
        <f aca="false">ROUND(PI()/4*B18^2*(1000/D18),1)</f>
        <v>53.6</v>
      </c>
      <c r="G18" s="1" t="n">
        <v>490</v>
      </c>
    </row>
    <row r="19" customFormat="false" ht="15" hidden="false" customHeight="true" outlineLevel="0" collapsed="false">
      <c r="A19" s="1" t="s">
        <v>850</v>
      </c>
      <c r="B19" s="1" t="n">
        <v>4</v>
      </c>
      <c r="C19" s="1" t="n">
        <v>100</v>
      </c>
      <c r="D19" s="1" t="n">
        <v>100</v>
      </c>
      <c r="E19" s="1" t="n">
        <f aca="false">ROUND(PI()/4*B19^2*(1000/C19),1)</f>
        <v>125.7</v>
      </c>
      <c r="F19" s="1" t="n">
        <f aca="false">ROUND(PI()/4*B19^2*(1000/D19),1)</f>
        <v>125.7</v>
      </c>
      <c r="G19" s="1" t="n">
        <v>490</v>
      </c>
    </row>
    <row r="20" customFormat="false" ht="15" hidden="false" customHeight="true" outlineLevel="0" collapsed="false">
      <c r="A20" s="1" t="s">
        <v>351</v>
      </c>
      <c r="B20" s="1" t="n">
        <v>4</v>
      </c>
      <c r="C20" s="1" t="n">
        <v>150</v>
      </c>
      <c r="D20" s="1" t="n">
        <v>150</v>
      </c>
      <c r="E20" s="1" t="n">
        <f aca="false">ROUND(PI()/4*B20^2*(1000/C20),1)</f>
        <v>83.8</v>
      </c>
      <c r="F20" s="1" t="n">
        <f aca="false">ROUND(PI()/4*B20^2*(1000/D20),1)</f>
        <v>83.8</v>
      </c>
      <c r="G20" s="1" t="n">
        <v>490</v>
      </c>
    </row>
    <row r="21" customFormat="false" ht="15" hidden="false" customHeight="true" outlineLevel="0" collapsed="false">
      <c r="A21" s="1" t="s">
        <v>851</v>
      </c>
      <c r="B21" s="1" t="n">
        <v>4</v>
      </c>
      <c r="C21" s="1" t="n">
        <v>200</v>
      </c>
      <c r="D21" s="1" t="n">
        <v>200</v>
      </c>
      <c r="E21" s="1" t="n">
        <f aca="false">ROUND(PI()/4*B21^2*(1000/C21),1)</f>
        <v>62.8</v>
      </c>
      <c r="F21" s="1" t="n">
        <f aca="false">ROUND(PI()/4*B21^2*(1000/D21),1)</f>
        <v>62.8</v>
      </c>
      <c r="G21" s="1" t="n">
        <v>490</v>
      </c>
    </row>
    <row r="22" customFormat="false" ht="15" hidden="false" customHeight="true" outlineLevel="0" collapsed="false">
      <c r="A22" s="1" t="s">
        <v>852</v>
      </c>
      <c r="B22" s="1" t="n">
        <v>5</v>
      </c>
      <c r="C22" s="1" t="n">
        <v>100</v>
      </c>
      <c r="D22" s="1" t="n">
        <v>100</v>
      </c>
      <c r="E22" s="1" t="n">
        <f aca="false">ROUND(PI()/4*B22^2*(1000/C22),1)</f>
        <v>196.3</v>
      </c>
      <c r="F22" s="1" t="n">
        <f aca="false">ROUND(PI()/4*B22^2*(1000/D22),1)</f>
        <v>196.3</v>
      </c>
      <c r="G22" s="1" t="n">
        <v>490</v>
      </c>
    </row>
    <row r="23" customFormat="false" ht="15" hidden="false" customHeight="true" outlineLevel="0" collapsed="false">
      <c r="A23" s="1" t="s">
        <v>853</v>
      </c>
      <c r="B23" s="1" t="n">
        <v>5</v>
      </c>
      <c r="C23" s="1" t="n">
        <v>150</v>
      </c>
      <c r="D23" s="1" t="n">
        <v>150</v>
      </c>
      <c r="E23" s="1" t="n">
        <f aca="false">ROUND(PI()/4*B23^2*(1000/C23),1)</f>
        <v>130.9</v>
      </c>
      <c r="F23" s="1" t="n">
        <f aca="false">ROUND(PI()/4*B23^2*(1000/D23),1)</f>
        <v>130.9</v>
      </c>
      <c r="G23" s="1" t="n">
        <v>490</v>
      </c>
    </row>
    <row r="24" customFormat="false" ht="15" hidden="false" customHeight="true" outlineLevel="0" collapsed="false">
      <c r="A24" s="1" t="s">
        <v>854</v>
      </c>
      <c r="B24" s="1" t="n">
        <v>5</v>
      </c>
      <c r="C24" s="1" t="n">
        <v>200</v>
      </c>
      <c r="D24" s="1" t="n">
        <v>200</v>
      </c>
      <c r="E24" s="1" t="n">
        <f aca="false">ROUND(PI()/4*B24^2*(1000/C24),1)</f>
        <v>98.2</v>
      </c>
      <c r="F24" s="1" t="n">
        <f aca="false">ROUND(PI()/4*B24^2*(1000/D24),1)</f>
        <v>98.2</v>
      </c>
      <c r="G24" s="1" t="n">
        <v>490</v>
      </c>
    </row>
    <row r="25" customFormat="false" ht="15" hidden="false" customHeight="true" outlineLevel="0" collapsed="false">
      <c r="A25" s="1" t="s">
        <v>855</v>
      </c>
      <c r="B25" s="1" t="n">
        <v>6</v>
      </c>
      <c r="C25" s="1" t="n">
        <v>100</v>
      </c>
      <c r="D25" s="1" t="n">
        <v>100</v>
      </c>
      <c r="E25" s="1" t="n">
        <f aca="false">ROUND(PI()/4*B25^2*(1000/C25),1)</f>
        <v>282.7</v>
      </c>
      <c r="F25" s="1" t="n">
        <f aca="false">ROUND(PI()/4*B25^2*(1000/D25),1)</f>
        <v>282.7</v>
      </c>
      <c r="G25" s="1" t="n">
        <v>490</v>
      </c>
    </row>
    <row r="26" customFormat="false" ht="15" hidden="false" customHeight="true" outlineLevel="0" collapsed="false">
      <c r="A26" s="1" t="s">
        <v>856</v>
      </c>
      <c r="B26" s="1" t="n">
        <v>6</v>
      </c>
      <c r="C26" s="1" t="n">
        <v>150</v>
      </c>
      <c r="D26" s="1" t="n">
        <v>150</v>
      </c>
      <c r="E26" s="1" t="n">
        <f aca="false">ROUND(PI()/4*B26^2*(1000/C26),1)</f>
        <v>188.5</v>
      </c>
      <c r="F26" s="1" t="n">
        <f aca="false">ROUND(PI()/4*B26^2*(1000/D26),1)</f>
        <v>188.5</v>
      </c>
      <c r="G26" s="1" t="n">
        <v>490</v>
      </c>
    </row>
    <row r="27" customFormat="false" ht="15" hidden="false" customHeight="true" outlineLevel="0" collapsed="false">
      <c r="A27" s="1" t="s">
        <v>857</v>
      </c>
      <c r="B27" s="1" t="n">
        <v>6</v>
      </c>
      <c r="C27" s="1" t="n">
        <v>200</v>
      </c>
      <c r="D27" s="1" t="n">
        <v>200</v>
      </c>
      <c r="E27" s="1" t="n">
        <f aca="false">ROUND(PI()/4*B27^2*(1000/C27),1)</f>
        <v>141.4</v>
      </c>
      <c r="F27" s="1" t="n">
        <f aca="false">ROUND(PI()/4*B27^2*(1000/D27),1)</f>
        <v>141.4</v>
      </c>
      <c r="G27" s="1" t="n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2026-03-27T05:24:47Z</dcterms:created>
  <dc:creator>openpyxl</dc:creator>
  <dc:description/>
  <dc:language>en-US</dc:language>
  <cp:lastModifiedBy/>
  <dcterms:modified xsi:type="dcterms:W3CDTF">2026-03-28T07:19:50Z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