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❶ 專案資訊" sheetId="1" state="visible" r:id="rId3"/>
    <sheet name="❷ 區塊定義" sheetId="2" state="visible" r:id="rId4"/>
    <sheet name="❸ 樓層配置" sheetId="3" state="visible" r:id="rId5"/>
    <sheet name="❹ Deck樓板" sheetId="4" state="visible" r:id="rId6"/>
    <sheet name="❺ 鋼樓梯" sheetId="5" state="visible" r:id="rId7"/>
    <sheet name="❻ 彙總報表" sheetId="6" state="visible" r:id="rId8"/>
    <sheet name="使用說明" sheetId="7" state="visible" r:id="rId9"/>
    <sheet name="篩選輔助" sheetId="8" state="visible" r:id="rId10"/>
    <sheet name="規格資料庫" sheetId="9" state="visible" r:id="rId11"/>
  </sheets>
  <definedNames>
    <definedName function="false" hidden="false" name="prefix_list" vbProcedure="false">篩選輔助!$DJ$2:$DJ$114</definedName>
    <definedName function="false" hidden="false" name="spec_25" vbProcedure="false">篩選輔助!$CS$2:$CS$2</definedName>
    <definedName function="false" hidden="false" name="spec_3_0W" vbProcedure="false">篩選輔助!$DI$2:$DI$2</definedName>
    <definedName function="false" hidden="false" name="spec_BOX" vbProcedure="false">篩選輔助!$F$2:$F$30</definedName>
    <definedName function="false" hidden="false" name="spec_BOX100" vbProcedure="false">篩選輔助!$CI$2:$CI$4</definedName>
    <definedName function="false" hidden="false" name="spec_BOX125" vbProcedure="false">篩選輔助!$CJ$2:$CJ$3</definedName>
    <definedName function="false" hidden="false" name="spec_BOX150" vbProcedure="false">篩選輔助!$CK$2:$CK$4</definedName>
    <definedName function="false" hidden="false" name="spec_BOX200" vbProcedure="false">篩選輔助!$CL$2:$CL$5</definedName>
    <definedName function="false" hidden="false" name="spec_BOX250" vbProcedure="false">篩選輔助!$CM$2:$CM$4</definedName>
    <definedName function="false" hidden="false" name="spec_BOX300" vbProcedure="false">篩選輔助!$CN$2:$CN$4</definedName>
    <definedName function="false" hidden="false" name="spec_BOX350" vbProcedure="false">篩選輔助!$CO$2:$CO$3</definedName>
    <definedName function="false" hidden="false" name="spec_BOX400" vbProcedure="false">篩選輔助!$CP$2:$CP$5</definedName>
    <definedName function="false" hidden="false" name="spec_BOX500" vbProcedure="false">篩選輔助!$CQ$2:$CQ$4</definedName>
    <definedName function="false" hidden="false" name="spec_BOX600" vbProcedure="false">篩選輔助!$CR$2:$CR$3</definedName>
    <definedName function="false" hidden="false" name="spec_C" vbProcedure="false">篩選輔助!$C$2:$C$11</definedName>
    <definedName function="false" hidden="false" name="spec_C100" vbProcedure="false">篩選輔助!$AZ$2:$AZ$2</definedName>
    <definedName function="false" hidden="false" name="spec_C125" vbProcedure="false">篩選輔助!$BA$2:$BA$2</definedName>
    <definedName function="false" hidden="false" name="spec_C150" vbProcedure="false">篩選輔助!$BB$2:$BB$2</definedName>
    <definedName function="false" hidden="false" name="spec_C180" vbProcedure="false">篩選輔助!$BC$2:$BC$2</definedName>
    <definedName function="false" hidden="false" name="spec_C200" vbProcedure="false">篩選輔助!$BD$2:$BD$2</definedName>
    <definedName function="false" hidden="false" name="spec_C230" vbProcedure="false">篩選輔助!$BE$2:$BE$2</definedName>
    <definedName function="false" hidden="false" name="spec_C250" vbProcedure="false">篩選輔助!$BF$2:$BF$2</definedName>
    <definedName function="false" hidden="false" name="spec_C300" vbProcedure="false">篩選輔助!$BG$2:$BG$2</definedName>
    <definedName function="false" hidden="false" name="spec_C380" vbProcedure="false">篩選輔助!$BH$2:$BH$2</definedName>
    <definedName function="false" hidden="false" name="spec_C75" vbProcedure="false">篩選輔助!$AY$2:$AY$2</definedName>
    <definedName function="false" hidden="false" name="spec_CP" vbProcedure="false">篩選輔助!$H$2:$H$8</definedName>
    <definedName function="false" hidden="false" name="spec_d3_2_100" vbProcedure="false">篩選輔助!$CX$2:$CX$2</definedName>
    <definedName function="false" hidden="false" name="spec_d3_2_150" vbProcedure="false">篩選輔助!$CY$2:$CY$2</definedName>
    <definedName function="false" hidden="false" name="spec_d4_0_100" vbProcedure="false">篩選輔助!$CZ$2:$CZ$2</definedName>
    <definedName function="false" hidden="false" name="spec_d4_0_150" vbProcedure="false">篩選輔助!$DA$2:$DA$2</definedName>
    <definedName function="false" hidden="false" name="spec_d4_0_200" vbProcedure="false">篩選輔助!$DB$2:$DB$2</definedName>
    <definedName function="false" hidden="false" name="spec_d5_0_100" vbProcedure="false">篩選輔助!$DC$2:$DC$2</definedName>
    <definedName function="false" hidden="false" name="spec_d5_0_150" vbProcedure="false">篩選輔助!$DD$2:$DD$2</definedName>
    <definedName function="false" hidden="false" name="spec_d5_0_200" vbProcedure="false">篩選輔助!$DE$2:$DE$2</definedName>
    <definedName function="false" hidden="false" name="spec_d6_0_100" vbProcedure="false">篩選輔助!$DF$2:$DF$2</definedName>
    <definedName function="false" hidden="false" name="spec_d6_0_150" vbProcedure="false">篩選輔助!$DG$2:$DG$2</definedName>
    <definedName function="false" hidden="false" name="spec_d6_0_200" vbProcedure="false">篩選輔助!$DH$2:$DH$2</definedName>
    <definedName function="false" hidden="false" name="spec_DK" vbProcedure="false">篩選輔助!$K$2:$K$2</definedName>
    <definedName function="false" hidden="false" name="spec_FB50" vbProcedure="false">篩選輔助!$CT$2:$CT$2</definedName>
    <definedName function="false" hidden="false" name="spec_FB65" vbProcedure="false">篩選輔助!$CU$2:$CU$2</definedName>
    <definedName function="false" hidden="false" name="spec_FB75" vbProcedure="false">篩選輔助!$CV$2:$CV$2</definedName>
    <definedName function="false" hidden="false" name="spec_FB90" vbProcedure="false">篩選輔助!$CW$2:$CW$2</definedName>
    <definedName function="false" hidden="false" name="spec_GR" vbProcedure="false">篩選輔助!$G$2:$G$6</definedName>
    <definedName function="false" hidden="false" name="spec_H" vbProcedure="false">篩選輔助!$A$2:$A$42</definedName>
    <definedName function="false" hidden="false" name="spec_H100" vbProcedure="false">篩選輔助!$M$2:$M$2</definedName>
    <definedName function="false" hidden="false" name="spec_H125" vbProcedure="false">篩選輔助!$N$2:$N$2</definedName>
    <definedName function="false" hidden="false" name="spec_H150" vbProcedure="false">篩選輔助!$O$2:$O$3</definedName>
    <definedName function="false" hidden="false" name="spec_H175" vbProcedure="false">篩選輔助!$P$2:$P$2</definedName>
    <definedName function="false" hidden="false" name="spec_H194" vbProcedure="false">篩選輔助!$Q$2:$Q$2</definedName>
    <definedName function="false" hidden="false" name="spec_H200" vbProcedure="false">篩選輔助!$R$2:$R$3</definedName>
    <definedName function="false" hidden="false" name="spec_H244" vbProcedure="false">篩選輔助!$S$2:$S$3</definedName>
    <definedName function="false" hidden="false" name="spec_H248" vbProcedure="false">篩選輔助!$T$2:$T$2</definedName>
    <definedName function="false" hidden="false" name="spec_H250" vbProcedure="false">篩選輔助!$U$2:$U$3</definedName>
    <definedName function="false" hidden="false" name="spec_H294" vbProcedure="false">篩選輔助!$V$2:$V$3</definedName>
    <definedName function="false" hidden="false" name="spec_H298" vbProcedure="false">篩選輔助!$W$2:$W$2</definedName>
    <definedName function="false" hidden="false" name="spec_H300" vbProcedure="false">篩選輔助!$X$2:$X$3</definedName>
    <definedName function="false" hidden="false" name="spec_H340" vbProcedure="false">篩選輔助!$Y$2:$Y$3</definedName>
    <definedName function="false" hidden="false" name="spec_H346" vbProcedure="false">篩選輔助!$Z$2:$Z$2</definedName>
    <definedName function="false" hidden="false" name="spec_H350" vbProcedure="false">篩選輔助!$AA$2:$AA$3</definedName>
    <definedName function="false" hidden="false" name="spec_H390" vbProcedure="false">篩選輔助!$AB$2:$AB$2</definedName>
    <definedName function="false" hidden="false" name="spec_H394" vbProcedure="false">篩選輔助!$AC$2:$AC$2</definedName>
    <definedName function="false" hidden="false" name="spec_H396" vbProcedure="false">篩選輔助!$AD$2:$AD$2</definedName>
    <definedName function="false" hidden="false" name="spec_H400" vbProcedure="false">篩選輔助!$AE$2:$AE$3</definedName>
    <definedName function="false" hidden="false" name="spec_H446" vbProcedure="false">篩選輔助!$AF$2:$AF$2</definedName>
    <definedName function="false" hidden="false" name="spec_H450" vbProcedure="false">篩選輔助!$AG$2:$AG$2</definedName>
    <definedName function="false" hidden="false" name="spec_H482" vbProcedure="false">篩選輔助!$AH$2:$AH$2</definedName>
    <definedName function="false" hidden="false" name="spec_H488" vbProcedure="false">篩選輔助!$AI$2:$AI$2</definedName>
    <definedName function="false" hidden="false" name="spec_H496" vbProcedure="false">篩選輔助!$AJ$2:$AJ$2</definedName>
    <definedName function="false" hidden="false" name="spec_H500" vbProcedure="false">篩選輔助!$AK$2:$AK$3</definedName>
    <definedName function="false" hidden="false" name="spec_H588" vbProcedure="false">篩選輔助!$AL$2:$AL$2</definedName>
    <definedName function="false" hidden="false" name="spec_H600" vbProcedure="false">篩選輔助!$AM$2:$AM$3</definedName>
    <definedName function="false" hidden="false" name="spec_H700" vbProcedure="false">篩選輔助!$AN$2:$AN$2</definedName>
    <definedName function="false" hidden="false" name="spec_H800" vbProcedure="false">篩選輔助!$AO$2:$AO$2</definedName>
    <definedName function="false" hidden="false" name="spec_H900" vbProcedure="false">篩選輔助!$AP$2:$AP$2</definedName>
    <definedName function="false" hidden="false" name="spec_I" vbProcedure="false">篩選輔助!$B$2:$B$9</definedName>
    <definedName function="false" hidden="false" name="spec_I100" vbProcedure="false">篩選輔助!$AQ$2:$AQ$2</definedName>
    <definedName function="false" hidden="false" name="spec_I125" vbProcedure="false">篩選輔助!$AR$2:$AR$2</definedName>
    <definedName function="false" hidden="false" name="spec_I150" vbProcedure="false">篩選輔助!$AS$2:$AS$2</definedName>
    <definedName function="false" hidden="false" name="spec_I200" vbProcedure="false">篩選輔助!$AT$2:$AT$2</definedName>
    <definedName function="false" hidden="false" name="spec_I250" vbProcedure="false">篩選輔助!$AU$2:$AU$2</definedName>
    <definedName function="false" hidden="false" name="spec_I300" vbProcedure="false">篩選輔助!$AV$2:$AV$2</definedName>
    <definedName function="false" hidden="false" name="spec_I350" vbProcedure="false">篩選輔助!$AW$2:$AW$2</definedName>
    <definedName function="false" hidden="false" name="spec_I400" vbProcedure="false">篩選輔助!$AX$2:$AX$2</definedName>
    <definedName function="false" hidden="false" name="spec_L" vbProcedure="false">篩選輔助!$E$2:$E$18</definedName>
    <definedName function="false" hidden="false" name="spec_L100" vbProcedure="false">篩選輔助!$CD$2:$CD$4</definedName>
    <definedName function="false" hidden="false" name="spec_L125" vbProcedure="false">篩選輔助!$CE$2:$CE$2</definedName>
    <definedName function="false" hidden="false" name="spec_L130" vbProcedure="false">篩選輔助!$CF$2:$CF$2</definedName>
    <definedName function="false" hidden="false" name="spec_L150" vbProcedure="false">篩選輔助!$CG$2:$CG$3</definedName>
    <definedName function="false" hidden="false" name="spec_L200" vbProcedure="false">篩選輔助!$CH$2:$CH$3</definedName>
    <definedName function="false" hidden="false" name="spec_L50" vbProcedure="false">篩選輔助!$BZ$2:$BZ$3</definedName>
    <definedName function="false" hidden="false" name="spec_L65" vbProcedure="false">篩選輔助!$CA$2:$CA$3</definedName>
    <definedName function="false" hidden="false" name="spec_L75" vbProcedure="false">篩選輔助!$CB$2:$CB$3</definedName>
    <definedName function="false" hidden="false" name="spec_L90" vbProcedure="false">篩選輔助!$CC$2:$CC$3</definedName>
    <definedName function="false" hidden="false" name="spec_P" vbProcedure="false">篩選輔助!$D$2:$D$18</definedName>
    <definedName function="false" hidden="false" name="spec_P101_6" vbProcedure="false">篩選輔助!$BN$2:$BN$2</definedName>
    <definedName function="false" hidden="false" name="spec_P114_3" vbProcedure="false">篩選輔助!$BO$2:$BO$2</definedName>
    <definedName function="false" hidden="false" name="spec_P139_8" vbProcedure="false">篩選輔助!$BP$2:$BP$2</definedName>
    <definedName function="false" hidden="false" name="spec_P165_2" vbProcedure="false">篩選輔助!$BQ$2:$BQ$2</definedName>
    <definedName function="false" hidden="false" name="spec_P190_7" vbProcedure="false">篩選輔助!$BR$2:$BR$2</definedName>
    <definedName function="false" hidden="false" name="spec_P216_3" vbProcedure="false">篩選輔助!$BS$2:$BS$2</definedName>
    <definedName function="false" hidden="false" name="spec_P267_4" vbProcedure="false">篩選輔助!$BT$2:$BT$2</definedName>
    <definedName function="false" hidden="false" name="spec_P318_5" vbProcedure="false">篩選輔助!$BU$2:$BU$2</definedName>
    <definedName function="false" hidden="false" name="spec_P355_6" vbProcedure="false">篩選輔助!$BV$2:$BV$2</definedName>
    <definedName function="false" hidden="false" name="spec_P406_4" vbProcedure="false">篩選輔助!$BW$2:$BW$2</definedName>
    <definedName function="false" hidden="false" name="spec_P42_7" vbProcedure="false">篩選輔助!$BI$2:$BI$2</definedName>
    <definedName function="false" hidden="false" name="spec_P457_2" vbProcedure="false">篩選輔助!$BX$2:$BX$2</definedName>
    <definedName function="false" hidden="false" name="spec_P48_6" vbProcedure="false">篩選輔助!$BJ$2:$BJ$2</definedName>
    <definedName function="false" hidden="false" name="spec_P508_0" vbProcedure="false">篩選輔助!$BY$2:$BY$2</definedName>
    <definedName function="false" hidden="false" name="spec_P60_5" vbProcedure="false">篩選輔助!$BK$2:$BK$2</definedName>
    <definedName function="false" hidden="false" name="spec_P76_3" vbProcedure="false">篩選輔助!$BL$2:$BL$2</definedName>
    <definedName function="false" hidden="false" name="spec_P89_1" vbProcedure="false">篩選輔助!$BM$2:$BM$2</definedName>
    <definedName function="false" hidden="false" name="spec_PL" vbProcedure="false">篩選輔助!$I$2:$I$13</definedName>
    <definedName function="false" hidden="false" name="spec_RB" vbProcedure="false">篩選輔助!$L$2:$L$4</definedName>
    <definedName function="false" hidden="false" name="spec_WWM" vbProcedure="false">篩選輔助!$J$2:$J$12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<sst xmlns="http://schemas.openxmlformats.org/spreadsheetml/2006/main" count="1693" uniqueCount="552">
  <si>
    <t xml:space="preserve">鋼構重量 / 塗裝面積 計算模板 v6</t>
  </si>
  <si>
    <t xml:space="preserve">黃色=手動輸入，藍色底+▼=下拉選單，灰色=自動計算</t>
  </si>
  <si>
    <t xml:space="preserve">專案名稱</t>
  </si>
  <si>
    <t xml:space="preserve">（範例）XX廠房新建工程</t>
  </si>
  <si>
    <t xml:space="preserve">填表日期</t>
  </si>
  <si>
    <t xml:space="preserve">2025/01/01</t>
  </si>
  <si>
    <t xml:space="preserve">填表人員</t>
  </si>
  <si>
    <t xml:space="preserve">▎ 全域參數設定</t>
  </si>
  <si>
    <t xml:space="preserve">附加重量係數</t>
  </si>
  <si>
    <t xml:space="preserve">螺栓/銲接/補強板等</t>
  </si>
  <si>
    <t xml:space="preserve">鋼材單價 (元/噸)</t>
  </si>
  <si>
    <t xml:space="preserve">油漆單價 (元/m²)</t>
  </si>
  <si>
    <t xml:space="preserve">防火漆1hr單價 (元/m²)</t>
  </si>
  <si>
    <t xml:space="preserve">防火漆2hr單價 (元/m²)</t>
  </si>
  <si>
    <t xml:space="preserve">防火批覆單價 (元/m²)</t>
  </si>
  <si>
    <r>
      <rPr>
        <b val="true"/>
        <sz val="10"/>
        <rFont val="Arial"/>
        <family val="0"/>
        <charset val="1"/>
      </rPr>
      <t xml:space="preserve">RC</t>
    </r>
    <r>
      <rPr>
        <b val="true"/>
        <sz val="10"/>
        <rFont val="Noto Sans CJK SC"/>
        <family val="2"/>
      </rPr>
      <t xml:space="preserve">單價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元</t>
    </r>
    <r>
      <rPr>
        <b val="true"/>
        <sz val="10"/>
        <rFont val="Arial"/>
        <family val="0"/>
        <charset val="1"/>
      </rPr>
      <t xml:space="preserve">/m³)</t>
    </r>
  </si>
  <si>
    <t xml:space="preserve">粉光單價 (元/m²)</t>
  </si>
  <si>
    <r>
      <rPr>
        <b val="true"/>
        <sz val="10"/>
        <rFont val="Arial"/>
        <family val="0"/>
        <charset val="1"/>
      </rPr>
      <t xml:space="preserve">WWM</t>
    </r>
    <r>
      <rPr>
        <b val="true"/>
        <sz val="10"/>
        <rFont val="Noto Sans CJK SC"/>
        <family val="2"/>
      </rPr>
      <t xml:space="preserve">單價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元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噸</t>
    </r>
    <r>
      <rPr>
        <b val="true"/>
        <sz val="10"/>
        <rFont val="Arial"/>
        <family val="0"/>
        <charset val="1"/>
      </rPr>
      <t xml:space="preserve">)</t>
    </r>
  </si>
  <si>
    <t xml:space="preserve">底層筋單價 (元/噸)</t>
  </si>
  <si>
    <t xml:space="preserve">▎ 鋼料類別參考表</t>
  </si>
  <si>
    <t xml:space="preserve">鋼料類別</t>
  </si>
  <si>
    <t xml:space="preserve">鈑厚t(mm)</t>
  </si>
  <si>
    <r>
      <rPr>
        <b val="true"/>
        <sz val="10"/>
        <color rgb="FFFFFFFF"/>
        <rFont val="Arial"/>
        <family val="0"/>
        <charset val="1"/>
      </rPr>
      <t xml:space="preserve">Fy(kg/c</t>
    </r>
    <r>
      <rPr>
        <b val="true"/>
        <sz val="10"/>
        <color rgb="FFFFFFFF"/>
        <rFont val="Noto Sans CJK SC"/>
        <family val="2"/>
      </rPr>
      <t xml:space="preserve">㎡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</si>
  <si>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備註</t>
  </si>
  <si>
    <t xml:space="preserve">SN400B</t>
  </si>
  <si>
    <t xml:space="preserve">t≦40</t>
  </si>
  <si>
    <t xml:space="preserve">CNS SN400B or SM400</t>
  </si>
  <si>
    <t xml:space="preserve">t&gt;40</t>
  </si>
  <si>
    <t xml:space="preserve">SN490B</t>
  </si>
  <si>
    <t xml:space="preserve">CNS SN490B</t>
  </si>
  <si>
    <t xml:space="preserve">A572 Gr.50</t>
  </si>
  <si>
    <t xml:space="preserve">ASTM A572 Gr.50</t>
  </si>
  <si>
    <t xml:space="preserve">A36</t>
  </si>
  <si>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型鋼、角鋼</t>
    </r>
  </si>
  <si>
    <t xml:space="preserve">黃色=手動輸入，藍色底+▼=下拉選單，灰色=自動。塗裝長度留空=全塗。</t>
  </si>
  <si>
    <t xml:space="preserve">▎ 區塊 A — 標準梁柱(防火漆2hr)</t>
  </si>
  <si>
    <t xml:space="preserve">▼快速篩選</t>
  </si>
  <si>
    <t xml:space="preserve">構件名稱</t>
  </si>
  <si>
    <t xml:space="preserve">▼規格</t>
  </si>
  <si>
    <t xml:space="preserve">▼材質</t>
  </si>
  <si>
    <t xml:space="preserve">長度(mm)</t>
  </si>
  <si>
    <t xml:space="preserve">數量</t>
  </si>
  <si>
    <t xml:space="preserve">▼塗裝類型</t>
  </si>
  <si>
    <t xml:space="preserve">塗裝長度
(mm)空白=全塗</t>
  </si>
  <si>
    <t xml:space="preserve">▼扣梁上面積</t>
  </si>
  <si>
    <t xml:space="preserve">單位重</t>
  </si>
  <si>
    <t xml:space="preserve">表面積
(m²/m)</t>
  </si>
  <si>
    <t xml:space="preserve">重量(kg)</t>
  </si>
  <si>
    <t xml:space="preserve">塗裝面積
(m²)</t>
  </si>
  <si>
    <t xml:space="preserve">H</t>
  </si>
  <si>
    <t xml:space="preserve">主梁X向</t>
  </si>
  <si>
    <t xml:space="preserve">H294×200</t>
  </si>
  <si>
    <t xml:space="preserve">油漆</t>
  </si>
  <si>
    <t xml:space="preserve">否</t>
  </si>
  <si>
    <t xml:space="preserve">主梁Y向</t>
  </si>
  <si>
    <t xml:space="preserve">H244×175</t>
  </si>
  <si>
    <t xml:space="preserve">次梁</t>
  </si>
  <si>
    <t xml:space="preserve">H194×150</t>
  </si>
  <si>
    <t xml:space="preserve">BOX</t>
  </si>
  <si>
    <t xml:space="preserve">柱</t>
  </si>
  <si>
    <t xml:space="preserve">BOX400×400×19</t>
  </si>
  <si>
    <t xml:space="preserve">防火漆2hr</t>
  </si>
  <si>
    <t xml:space="preserve">L</t>
  </si>
  <si>
    <t xml:space="preserve">斜撐</t>
  </si>
  <si>
    <t xml:space="preserve">L100×100×10</t>
  </si>
  <si>
    <t xml:space="preserve">小計</t>
  </si>
  <si>
    <t xml:space="preserve">▎ 區塊 B — 管架柱(下半截2hr)</t>
  </si>
  <si>
    <t xml:space="preserve">設備梁</t>
  </si>
  <si>
    <t xml:space="preserve">H488×300</t>
  </si>
  <si>
    <t xml:space="preserve">支撐梁</t>
  </si>
  <si>
    <t xml:space="preserve">H340×175</t>
  </si>
  <si>
    <t xml:space="preserve">BOX500×500×19</t>
  </si>
  <si>
    <t xml:space="preserve">▎ 區塊 C — 標準(防火漆1hr)</t>
  </si>
  <si>
    <t xml:space="preserve">邊梁</t>
  </si>
  <si>
    <t xml:space="preserve">防火漆1hr</t>
  </si>
  <si>
    <t xml:space="preserve">是</t>
  </si>
  <si>
    <t xml:space="preserve">C</t>
  </si>
  <si>
    <t xml:space="preserve">檁條</t>
  </si>
  <si>
    <t xml:space="preserve">C150×75</t>
  </si>
  <si>
    <t xml:space="preserve">P</t>
  </si>
  <si>
    <t xml:space="preserve">欄杆柱</t>
  </si>
  <si>
    <t xml:space="preserve">P89.1×2.8</t>
  </si>
  <si>
    <t xml:space="preserve">▎ 區塊 D — 備用</t>
  </si>
  <si>
    <t xml:space="preserve">▎ 區塊 E — 備用</t>
  </si>
  <si>
    <t xml:space="preserve">填寫每層各區塊Bay數量，右側自動計算。</t>
  </si>
  <si>
    <t xml:space="preserve">樓層</t>
  </si>
  <si>
    <t xml:space="preserve">區塊A
數量</t>
  </si>
  <si>
    <t xml:space="preserve">區塊B
數量</t>
  </si>
  <si>
    <t xml:space="preserve">區塊C
數量</t>
  </si>
  <si>
    <t xml:space="preserve">區塊D
數量</t>
  </si>
  <si>
    <t xml:space="preserve">區塊E
數量</t>
  </si>
  <si>
    <t xml:space="preserve">樓層重量
(kg)</t>
  </si>
  <si>
    <t xml:space="preserve">油漆面積
(m²)</t>
  </si>
  <si>
    <t xml:space="preserve">防火漆1hr
面積(m²)</t>
  </si>
  <si>
    <t xml:space="preserve">防火漆2hr
面積(m²)</t>
  </si>
  <si>
    <t xml:space="preserve">防火批覆
面積(m²)</t>
  </si>
  <si>
    <t xml:space="preserve">樓層總面積
(m²)</t>
  </si>
  <si>
    <t xml:space="preserve">1F</t>
  </si>
  <si>
    <t xml:space="preserve">2F</t>
  </si>
  <si>
    <t xml:space="preserve">3F</t>
  </si>
  <si>
    <t xml:space="preserve">RF</t>
  </si>
  <si>
    <t xml:space="preserve">區塊合計</t>
  </si>
  <si>
    <t xml:space="preserve">▎ 零星構件</t>
  </si>
  <si>
    <t xml:space="preserve">零星合計</t>
  </si>
  <si>
    <r>
      <rPr>
        <sz val="9"/>
        <color rgb="FF808080"/>
        <rFont val="Arial"/>
        <family val="0"/>
        <charset val="1"/>
      </rPr>
      <t xml:space="preserve">Deck</t>
    </r>
    <r>
      <rPr>
        <sz val="9"/>
        <color rgb="FF808080"/>
        <rFont val="Noto Sans CJK SC"/>
        <family val="2"/>
      </rPr>
      <t xml:space="preserve">鋼板</t>
    </r>
    <r>
      <rPr>
        <sz val="9"/>
        <color rgb="FF808080"/>
        <rFont val="Arial"/>
        <family val="0"/>
        <charset val="1"/>
      </rPr>
      <t xml:space="preserve">+</t>
    </r>
    <r>
      <rPr>
        <sz val="9"/>
        <color rgb="FF808080"/>
        <rFont val="Noto Sans CJK SC"/>
        <family val="2"/>
      </rPr>
      <t xml:space="preserve">底層筋</t>
    </r>
    <r>
      <rPr>
        <sz val="9"/>
        <color rgb="FF808080"/>
        <rFont val="Arial"/>
        <family val="0"/>
        <charset val="1"/>
      </rPr>
      <t xml:space="preserve">+WWM+RC</t>
    </r>
    <r>
      <rPr>
        <sz val="9"/>
        <color rgb="FF808080"/>
        <rFont val="Noto Sans CJK SC"/>
        <family val="2"/>
      </rPr>
      <t xml:space="preserve">灌漿</t>
    </r>
    <r>
      <rPr>
        <sz val="9"/>
        <color rgb="FF808080"/>
        <rFont val="Arial"/>
        <family val="0"/>
        <charset val="1"/>
      </rPr>
      <t xml:space="preserve">+</t>
    </r>
    <r>
      <rPr>
        <sz val="9"/>
        <color rgb="FF808080"/>
        <rFont val="Noto Sans CJK SC"/>
        <family val="2"/>
      </rPr>
      <t xml:space="preserve">粉光。防火漆可選</t>
    </r>
    <r>
      <rPr>
        <sz val="9"/>
        <color rgb="FF808080"/>
        <rFont val="Arial"/>
        <family val="0"/>
        <charset val="1"/>
      </rPr>
      <t xml:space="preserve">1hr/2hr</t>
    </r>
    <r>
      <rPr>
        <sz val="9"/>
        <color rgb="FF808080"/>
        <rFont val="Noto Sans CJK SC"/>
        <family val="2"/>
      </rPr>
      <t xml:space="preserve">。</t>
    </r>
  </si>
  <si>
    <r>
      <rPr>
        <b val="true"/>
        <sz val="10"/>
        <color rgb="FFFFFFFF"/>
        <rFont val="Arial"/>
        <family val="0"/>
        <charset val="1"/>
      </rPr>
      <t xml:space="preserve">▼Deck</t>
    </r>
    <r>
      <rPr>
        <b val="true"/>
        <sz val="10"/>
        <color rgb="FFFFFFFF"/>
        <rFont val="Noto Sans CJK SC"/>
        <family val="2"/>
      </rPr>
      <t xml:space="preserve">型號</t>
    </r>
  </si>
  <si>
    <t xml:space="preserve">面積(m²)</t>
  </si>
  <si>
    <t xml:space="preserve">總版厚T(mm)
波谷→頂面</t>
  </si>
  <si>
    <t xml:space="preserve">▼底層筋</t>
  </si>
  <si>
    <r>
      <rPr>
        <b val="true"/>
        <sz val="10"/>
        <color rgb="FFFFFFFF"/>
        <rFont val="Arial"/>
        <family val="0"/>
        <charset val="1"/>
      </rPr>
      <t xml:space="preserve">▼WWM</t>
    </r>
    <r>
      <rPr>
        <b val="true"/>
        <sz val="10"/>
        <color rgb="FFFFFFFF"/>
        <rFont val="Noto Sans CJK SC"/>
        <family val="2"/>
      </rPr>
      <t xml:space="preserve">規格</t>
    </r>
  </si>
  <si>
    <t xml:space="preserve">▼防火漆</t>
  </si>
  <si>
    <t xml:space="preserve">▼粉光</t>
  </si>
  <si>
    <t xml:space="preserve">波高hr
(mm)</t>
  </si>
  <si>
    <t xml:space="preserve">浪距
(mm)</t>
  </si>
  <si>
    <r>
      <rPr>
        <b val="true"/>
        <sz val="10"/>
        <color rgb="FFFFFFFF"/>
        <rFont val="Arial"/>
        <family val="0"/>
        <charset val="1"/>
      </rPr>
      <t xml:space="preserve">Deck</t>
    </r>
    <r>
      <rPr>
        <b val="true"/>
        <sz val="10"/>
        <color rgb="FFFFFFFF"/>
        <rFont val="Noto Sans CJK SC"/>
        <family val="2"/>
      </rPr>
      <t xml:space="preserve">鋼板
重</t>
    </r>
    <r>
      <rPr>
        <b val="true"/>
        <sz val="10"/>
        <color rgb="FFFFFFFF"/>
        <rFont val="Arial"/>
        <family val="0"/>
        <charset val="1"/>
      </rPr>
      <t xml:space="preserve">(kg)</t>
    </r>
  </si>
  <si>
    <t xml:space="preserve">底層筋
重(kg)</t>
  </si>
  <si>
    <r>
      <rPr>
        <b val="true"/>
        <sz val="10"/>
        <color rgb="FFFFFFFF"/>
        <rFont val="Arial"/>
        <family val="0"/>
        <charset val="1"/>
      </rPr>
      <t xml:space="preserve">WWM
</t>
    </r>
    <r>
      <rPr>
        <b val="true"/>
        <sz val="10"/>
        <color rgb="FFFFFFFF"/>
        <rFont val="Noto Sans CJK SC"/>
        <family val="2"/>
      </rPr>
      <t xml:space="preserve">重</t>
    </r>
    <r>
      <rPr>
        <b val="true"/>
        <sz val="10"/>
        <color rgb="FFFFFFFF"/>
        <rFont val="Arial"/>
        <family val="0"/>
        <charset val="1"/>
      </rPr>
      <t xml:space="preserve">(kg)</t>
    </r>
  </si>
  <si>
    <r>
      <rPr>
        <b val="true"/>
        <sz val="10"/>
        <color rgb="FFFFFFFF"/>
        <rFont val="Arial"/>
        <family val="0"/>
        <charset val="1"/>
      </rPr>
      <t xml:space="preserve">RC</t>
    </r>
    <r>
      <rPr>
        <b val="true"/>
        <sz val="10"/>
        <color rgb="FFFFFFFF"/>
        <rFont val="Noto Sans CJK SC"/>
        <family val="2"/>
      </rPr>
      <t xml:space="preserve">體積
</t>
    </r>
    <r>
      <rPr>
        <b val="true"/>
        <sz val="10"/>
        <color rgb="FFFFFFFF"/>
        <rFont val="Arial"/>
        <family val="0"/>
        <charset val="1"/>
      </rPr>
      <t xml:space="preserve">(m³)</t>
    </r>
  </si>
  <si>
    <t xml:space="preserve">粉光面積
(m²)</t>
  </si>
  <si>
    <t xml:space="preserve">防火漆面積
(m²)</t>
  </si>
  <si>
    <t xml:space="preserve">3.0W-1.2mm</t>
  </si>
  <si>
    <t xml:space="preserve">#4(D13)</t>
  </si>
  <si>
    <t xml:space="preserve">φ4.0@150×150</t>
  </si>
  <si>
    <t xml:space="preserve">#3(D10)</t>
  </si>
  <si>
    <t xml:space="preserve">φ3.2@150×150</t>
  </si>
  <si>
    <t xml:space="preserve">無</t>
  </si>
  <si>
    <r>
      <rPr>
        <b val="true"/>
        <sz val="10"/>
        <color rgb="FF375623"/>
        <rFont val="Arial"/>
        <family val="0"/>
        <charset val="1"/>
      </rPr>
      <t xml:space="preserve">Deck</t>
    </r>
    <r>
      <rPr>
        <b val="true"/>
        <sz val="10"/>
        <color rgb="FF375623"/>
        <rFont val="Noto Sans CJK SC"/>
        <family val="2"/>
      </rPr>
      <t xml:space="preserve">合計</t>
    </r>
  </si>
  <si>
    <t xml:space="preserve">線性件填長度(寬度留空)→kg/m。面積件填長度+寬度→kg/m²。塗裝長度留空=全塗。</t>
  </si>
  <si>
    <t xml:space="preserve">樓梯編號</t>
  </si>
  <si>
    <t xml:space="preserve">寬度(mm)
面積件填</t>
  </si>
  <si>
    <t xml:space="preserve">ST-1</t>
  </si>
  <si>
    <t xml:space="preserve">梯梁(斜梁)</t>
  </si>
  <si>
    <t xml:space="preserve">踏板(格柵)</t>
  </si>
  <si>
    <t xml:space="preserve">GR</t>
  </si>
  <si>
    <r>
      <rPr>
        <sz val="10"/>
        <color rgb="FF1F4E79"/>
        <rFont val="Arial"/>
        <family val="0"/>
        <charset val="1"/>
      </rPr>
      <t xml:space="preserve">25×4.5 @30 </t>
    </r>
    <r>
      <rPr>
        <sz val="10"/>
        <color rgb="FF1F4E79"/>
        <rFont val="Noto Sans CJK SC"/>
        <family val="2"/>
      </rPr>
      <t xml:space="preserve">溝距</t>
    </r>
    <r>
      <rPr>
        <sz val="10"/>
        <color rgb="FF1F4E79"/>
        <rFont val="Arial"/>
        <family val="0"/>
        <charset val="1"/>
      </rPr>
      <t xml:space="preserve">100</t>
    </r>
  </si>
  <si>
    <t xml:space="preserve">平台板(鋼板)</t>
  </si>
  <si>
    <t xml:space="preserve">PL</t>
  </si>
  <si>
    <t xml:space="preserve">PL6</t>
  </si>
  <si>
    <t xml:space="preserve">平台板WWM</t>
  </si>
  <si>
    <t xml:space="preserve">WWM</t>
  </si>
  <si>
    <t xml:space="preserve">φ4.0@100×100</t>
  </si>
  <si>
    <t xml:space="preserve">平台梁</t>
  </si>
  <si>
    <t xml:space="preserve">ST-2</t>
  </si>
  <si>
    <t xml:space="preserve">C200×80</t>
  </si>
  <si>
    <t xml:space="preserve">踏板(花紋鋼板)</t>
  </si>
  <si>
    <t xml:space="preserve">CP</t>
  </si>
  <si>
    <t xml:space="preserve">CP6</t>
  </si>
  <si>
    <t xml:space="preserve">樓梯合計</t>
  </si>
  <si>
    <t xml:space="preserve">鋼構重量 / 塗裝面積 / 費用 彙總報表 v6</t>
  </si>
  <si>
    <t xml:space="preserve">本表自動產出，請勿手動修改</t>
  </si>
  <si>
    <t xml:space="preserve">▎ 一、鋼構重量（依鋼料分類）</t>
  </si>
  <si>
    <t xml:space="preserve">區塊構件(kg)</t>
  </si>
  <si>
    <t xml:space="preserve">零星構件(kg)</t>
  </si>
  <si>
    <t xml:space="preserve">鋼樓梯(kg)</t>
  </si>
  <si>
    <t xml:space="preserve">小計(kg)</t>
  </si>
  <si>
    <t xml:space="preserve">小計(噸)</t>
  </si>
  <si>
    <t xml:space="preserve">鋼構小計</t>
  </si>
  <si>
    <t xml:space="preserve">▎ 二、其他鋼板類重量</t>
  </si>
  <si>
    <t xml:space="preserve">項目</t>
  </si>
  <si>
    <t xml:space="preserve">區塊+零星(kg)</t>
  </si>
  <si>
    <t xml:space="preserve">Deck(kg)</t>
  </si>
  <si>
    <t xml:space="preserve">格柵(GR)</t>
  </si>
  <si>
    <t xml:space="preserve">花紋鋼板(CP)</t>
  </si>
  <si>
    <r>
      <rPr>
        <b val="true"/>
        <sz val="10"/>
        <rFont val="Arial"/>
        <family val="0"/>
        <charset val="1"/>
      </rPr>
      <t xml:space="preserve">Deck</t>
    </r>
    <r>
      <rPr>
        <b val="true"/>
        <sz val="10"/>
        <rFont val="Noto Sans CJK SC"/>
        <family val="2"/>
      </rPr>
      <t xml:space="preserve">鋼浪板</t>
    </r>
  </si>
  <si>
    <t xml:space="preserve">鋼板類小計</t>
  </si>
  <si>
    <t xml:space="preserve">▎ 三、鋼材總重（一＋二）</t>
  </si>
  <si>
    <t xml:space="preserve">重量(噸)</t>
  </si>
  <si>
    <t xml:space="preserve">鋼構(一)</t>
  </si>
  <si>
    <t xml:space="preserve">鋼板類(二)</t>
  </si>
  <si>
    <t xml:space="preserve">鋼材淨重</t>
  </si>
  <si>
    <t xml:space="preserve">附加重量</t>
  </si>
  <si>
    <t xml:space="preserve">鋼材總重</t>
  </si>
  <si>
    <t xml:space="preserve">▎ 四、電焊鋼絲網 WWM（獨立）</t>
  </si>
  <si>
    <r>
      <rPr>
        <b val="true"/>
        <sz val="10"/>
        <color rgb="FFFFFFFF"/>
        <rFont val="Arial"/>
        <family val="0"/>
        <charset val="1"/>
      </rPr>
      <t xml:space="preserve">Deck</t>
    </r>
    <r>
      <rPr>
        <b val="true"/>
        <sz val="10"/>
        <color rgb="FFFFFFFF"/>
        <rFont val="Noto Sans CJK SC"/>
        <family val="2"/>
      </rPr>
      <t xml:space="preserve">用</t>
    </r>
    <r>
      <rPr>
        <b val="true"/>
        <sz val="10"/>
        <color rgb="FFFFFFFF"/>
        <rFont val="Arial"/>
        <family val="0"/>
        <charset val="1"/>
      </rPr>
      <t xml:space="preserve">(kg)</t>
    </r>
  </si>
  <si>
    <t xml:space="preserve">鋼樓梯用(kg)</t>
  </si>
  <si>
    <t xml:space="preserve">▎ 五、底層筋（獨立）</t>
  </si>
  <si>
    <t xml:space="preserve">底層筋</t>
  </si>
  <si>
    <t xml:space="preserve">▎ 六、RC混凝土</t>
  </si>
  <si>
    <t xml:space="preserve">單位</t>
  </si>
  <si>
    <r>
      <rPr>
        <b val="true"/>
        <sz val="10"/>
        <rFont val="Arial"/>
        <family val="0"/>
        <charset val="1"/>
      </rPr>
      <t xml:space="preserve">Deck</t>
    </r>
    <r>
      <rPr>
        <b val="true"/>
        <sz val="10"/>
        <rFont val="Noto Sans CJK SC"/>
        <family val="2"/>
      </rPr>
      <t xml:space="preserve">灌漿體積</t>
    </r>
  </si>
  <si>
    <t xml:space="preserve">m³</t>
  </si>
  <si>
    <t xml:space="preserve">▎ 七、面積彙總</t>
  </si>
  <si>
    <t xml:space="preserve">類型</t>
  </si>
  <si>
    <t xml:space="preserve">區塊(m²)</t>
  </si>
  <si>
    <t xml:space="preserve">零星(m²)</t>
  </si>
  <si>
    <t xml:space="preserve">樓梯(m²)</t>
  </si>
  <si>
    <t xml:space="preserve">Deck(m²)</t>
  </si>
  <si>
    <t xml:space="preserve">總面積(m²)</t>
  </si>
  <si>
    <t xml:space="preserve">防火批覆</t>
  </si>
  <si>
    <t xml:space="preserve">粉光</t>
  </si>
  <si>
    <t xml:space="preserve">面積總計</t>
  </si>
  <si>
    <t xml:space="preserve">▎ 八、費用估算</t>
  </si>
  <si>
    <t xml:space="preserve">單價(元)</t>
  </si>
  <si>
    <t xml:space="preserve">金額(元)</t>
  </si>
  <si>
    <t xml:space="preserve">鋼材(含附加)</t>
  </si>
  <si>
    <t xml:space="preserve">噸</t>
  </si>
  <si>
    <t xml:space="preserve">m²</t>
  </si>
  <si>
    <r>
      <rPr>
        <b val="true"/>
        <sz val="10"/>
        <rFont val="Arial"/>
        <family val="0"/>
        <charset val="1"/>
      </rPr>
      <t xml:space="preserve">RC</t>
    </r>
    <r>
      <rPr>
        <b val="true"/>
        <sz val="10"/>
        <rFont val="Noto Sans CJK SC"/>
        <family val="2"/>
      </rPr>
      <t xml:space="preserve">灌漿</t>
    </r>
  </si>
  <si>
    <t xml:space="preserve">費用總計</t>
  </si>
  <si>
    <t xml:space="preserve">鋼構重量計算模板 v6 — 使用說明</t>
  </si>
  <si>
    <t xml:space="preserve">▎ 工作表順序</t>
  </si>
  <si>
    <t xml:space="preserve">❶專案資訊 → ❷區塊定義 → ❸樓層配置 → ❹Deck → ❺鋼樓梯 → ❻彙總</t>
  </si>
  <si>
    <r>
      <rPr>
        <b val="true"/>
        <sz val="12"/>
        <color rgb="FF2F5496"/>
        <rFont val="Arial"/>
        <family val="0"/>
        <charset val="1"/>
      </rPr>
      <t xml:space="preserve">▎ v6 </t>
    </r>
    <r>
      <rPr>
        <b val="true"/>
        <sz val="12"/>
        <color rgb="FF2F5496"/>
        <rFont val="Noto Sans CJK SC"/>
        <family val="2"/>
      </rPr>
      <t xml:space="preserve">更新重點</t>
    </r>
  </si>
  <si>
    <t xml:space="preserve">塗裝下拉擴充：油漆 / 防火漆1hr / 防火漆2hr / 防火批覆 / 無</t>
  </si>
  <si>
    <t xml:space="preserve">新增「塗裝長度」欄：留空=全塗，填數字=只算填入長度的面積</t>
  </si>
  <si>
    <t xml:space="preserve">適用場景：戶外管架柱下半截有2hr防火漆，上面沒有 → 塗裝長度填下半截長度</t>
  </si>
  <si>
    <r>
      <rPr>
        <sz val="10"/>
        <rFont val="Arial"/>
        <family val="0"/>
        <charset val="1"/>
      </rPr>
      <t xml:space="preserve">Deck</t>
    </r>
    <r>
      <rPr>
        <sz val="10"/>
        <rFont val="Noto Sans CJK SC"/>
        <family val="2"/>
      </rPr>
      <t xml:space="preserve">防火批覆改為防火漆，可選</t>
    </r>
    <r>
      <rPr>
        <sz val="10"/>
        <rFont val="Arial"/>
        <family val="0"/>
        <charset val="1"/>
      </rPr>
      <t xml:space="preserve">1hr/2hr/</t>
    </r>
    <r>
      <rPr>
        <sz val="10"/>
        <rFont val="Noto Sans CJK SC"/>
        <family val="2"/>
      </rPr>
      <t xml:space="preserve">無</t>
    </r>
  </si>
  <si>
    <t xml:space="preserve">彙總報表：防火漆1hr和2hr獨立統計面積與費用</t>
  </si>
  <si>
    <t xml:space="preserve">▎ 不同樓層防火時效不同的處理</t>
  </si>
  <si>
    <t xml:space="preserve">建兩組相同構件但不同塗裝的區塊，例如：</t>
  </si>
  <si>
    <t xml:space="preserve">區塊A(防火漆2hr) → 用在1F、2F</t>
  </si>
  <si>
    <t xml:space="preserve">區塊A'(防火漆1hr) → 用在3F、RF</t>
  </si>
  <si>
    <t xml:space="preserve">在樓層配置表填不同的Bay數即可</t>
  </si>
  <si>
    <t xml:space="preserve">▎ 顏色說明</t>
  </si>
  <si>
    <t xml:space="preserve">黃色底=手動輸入  藍色底+▼=下拉選單  灰色底=自動計算</t>
  </si>
  <si>
    <t xml:space="preserve">I</t>
  </si>
  <si>
    <t xml:space="preserve">DK</t>
  </si>
  <si>
    <t xml:space="preserve">RB</t>
  </si>
  <si>
    <t xml:space="preserve">H100</t>
  </si>
  <si>
    <t xml:space="preserve">H125</t>
  </si>
  <si>
    <t xml:space="preserve">H150</t>
  </si>
  <si>
    <t xml:space="preserve">H175</t>
  </si>
  <si>
    <t xml:space="preserve">H194</t>
  </si>
  <si>
    <t xml:space="preserve">H200</t>
  </si>
  <si>
    <t xml:space="preserve">H244</t>
  </si>
  <si>
    <t xml:space="preserve">H248</t>
  </si>
  <si>
    <t xml:space="preserve">H250</t>
  </si>
  <si>
    <t xml:space="preserve">H294</t>
  </si>
  <si>
    <t xml:space="preserve">H298</t>
  </si>
  <si>
    <t xml:space="preserve">H300</t>
  </si>
  <si>
    <t xml:space="preserve">H340</t>
  </si>
  <si>
    <t xml:space="preserve">H346</t>
  </si>
  <si>
    <t xml:space="preserve">H350</t>
  </si>
  <si>
    <t xml:space="preserve">H390</t>
  </si>
  <si>
    <t xml:space="preserve">H394</t>
  </si>
  <si>
    <t xml:space="preserve">H396</t>
  </si>
  <si>
    <t xml:space="preserve">H400</t>
  </si>
  <si>
    <t xml:space="preserve">H446</t>
  </si>
  <si>
    <t xml:space="preserve">H450</t>
  </si>
  <si>
    <t xml:space="preserve">H482</t>
  </si>
  <si>
    <t xml:space="preserve">H488</t>
  </si>
  <si>
    <t xml:space="preserve">H496</t>
  </si>
  <si>
    <t xml:space="preserve">H500</t>
  </si>
  <si>
    <t xml:space="preserve">H588</t>
  </si>
  <si>
    <t xml:space="preserve">H600</t>
  </si>
  <si>
    <t xml:space="preserve">H700</t>
  </si>
  <si>
    <t xml:space="preserve">H800</t>
  </si>
  <si>
    <t xml:space="preserve">H900</t>
  </si>
  <si>
    <t xml:space="preserve">I100</t>
  </si>
  <si>
    <t xml:space="preserve">I125</t>
  </si>
  <si>
    <t xml:space="preserve">I150</t>
  </si>
  <si>
    <t xml:space="preserve">I200</t>
  </si>
  <si>
    <t xml:space="preserve">I250</t>
  </si>
  <si>
    <t xml:space="preserve">I300</t>
  </si>
  <si>
    <t xml:space="preserve">I350</t>
  </si>
  <si>
    <t xml:space="preserve">I400</t>
  </si>
  <si>
    <t xml:space="preserve">C75</t>
  </si>
  <si>
    <t xml:space="preserve">C100</t>
  </si>
  <si>
    <t xml:space="preserve">C125</t>
  </si>
  <si>
    <t xml:space="preserve">C150</t>
  </si>
  <si>
    <t xml:space="preserve">C180</t>
  </si>
  <si>
    <t xml:space="preserve">C200</t>
  </si>
  <si>
    <t xml:space="preserve">C230</t>
  </si>
  <si>
    <t xml:space="preserve">C250</t>
  </si>
  <si>
    <t xml:space="preserve">C300</t>
  </si>
  <si>
    <t xml:space="preserve">C380</t>
  </si>
  <si>
    <t xml:space="preserve">P42.7</t>
  </si>
  <si>
    <t xml:space="preserve">P48.6</t>
  </si>
  <si>
    <t xml:space="preserve">P60.5</t>
  </si>
  <si>
    <t xml:space="preserve">P76.3</t>
  </si>
  <si>
    <t xml:space="preserve">P89.1</t>
  </si>
  <si>
    <t xml:space="preserve">P101.6</t>
  </si>
  <si>
    <t xml:space="preserve">P114.3</t>
  </si>
  <si>
    <t xml:space="preserve">P139.8</t>
  </si>
  <si>
    <t xml:space="preserve">P165.2</t>
  </si>
  <si>
    <t xml:space="preserve">P190.7</t>
  </si>
  <si>
    <t xml:space="preserve">P216.3</t>
  </si>
  <si>
    <t xml:space="preserve">P267.4</t>
  </si>
  <si>
    <t xml:space="preserve">P318.5</t>
  </si>
  <si>
    <t xml:space="preserve">P355.6</t>
  </si>
  <si>
    <t xml:space="preserve">P406.4</t>
  </si>
  <si>
    <t xml:space="preserve">P457.2</t>
  </si>
  <si>
    <t xml:space="preserve">P508.0</t>
  </si>
  <si>
    <t xml:space="preserve">L50</t>
  </si>
  <si>
    <t xml:space="preserve">L65</t>
  </si>
  <si>
    <t xml:space="preserve">L75</t>
  </si>
  <si>
    <t xml:space="preserve">L90</t>
  </si>
  <si>
    <t xml:space="preserve">L100</t>
  </si>
  <si>
    <t xml:space="preserve">L125</t>
  </si>
  <si>
    <t xml:space="preserve">L130</t>
  </si>
  <si>
    <t xml:space="preserve">L150</t>
  </si>
  <si>
    <t xml:space="preserve">L200</t>
  </si>
  <si>
    <t xml:space="preserve">BOX100</t>
  </si>
  <si>
    <t xml:space="preserve">BOX125</t>
  </si>
  <si>
    <t xml:space="preserve">BOX150</t>
  </si>
  <si>
    <t xml:space="preserve">BOX200</t>
  </si>
  <si>
    <t xml:space="preserve">BOX250</t>
  </si>
  <si>
    <t xml:space="preserve">BOX300</t>
  </si>
  <si>
    <t xml:space="preserve">BOX350</t>
  </si>
  <si>
    <t xml:space="preserve">BOX400</t>
  </si>
  <si>
    <t xml:space="preserve">BOX500</t>
  </si>
  <si>
    <t xml:space="preserve">BOX600</t>
  </si>
  <si>
    <t xml:space="preserve">25</t>
  </si>
  <si>
    <t xml:space="preserve">FB50</t>
  </si>
  <si>
    <t xml:space="preserve">FB65</t>
  </si>
  <si>
    <t xml:space="preserve">FB75</t>
  </si>
  <si>
    <t xml:space="preserve">FB90</t>
  </si>
  <si>
    <t xml:space="preserve">φ3.2@100</t>
  </si>
  <si>
    <t xml:space="preserve">φ3.2@150</t>
  </si>
  <si>
    <t xml:space="preserve">φ4.0@100</t>
  </si>
  <si>
    <t xml:space="preserve">φ4.0@150</t>
  </si>
  <si>
    <t xml:space="preserve">φ4.0@200</t>
  </si>
  <si>
    <t xml:space="preserve">φ5.0@100</t>
  </si>
  <si>
    <t xml:space="preserve">φ5.0@150</t>
  </si>
  <si>
    <t xml:space="preserve">φ5.0@200</t>
  </si>
  <si>
    <t xml:space="preserve">φ6.0@100</t>
  </si>
  <si>
    <t xml:space="preserve">φ6.0@150</t>
  </si>
  <si>
    <t xml:space="preserve">φ6.0@200</t>
  </si>
  <si>
    <t xml:space="preserve">3.0W</t>
  </si>
  <si>
    <t xml:space="preserve">篩選清單</t>
  </si>
  <si>
    <t xml:space="preserve">H100×100</t>
  </si>
  <si>
    <t xml:space="preserve">I100×68</t>
  </si>
  <si>
    <t xml:space="preserve">C75×40</t>
  </si>
  <si>
    <t xml:space="preserve">P42.7×2.3</t>
  </si>
  <si>
    <t xml:space="preserve">L50×50×4</t>
  </si>
  <si>
    <t xml:space="preserve">BOX100×100×3.2</t>
  </si>
  <si>
    <r>
      <rPr>
        <sz val="11"/>
        <color theme="1"/>
        <rFont val="Calibri"/>
        <family val="2"/>
        <charset val="1"/>
      </rPr>
      <t xml:space="preserve">25×4.5 @30 </t>
    </r>
    <r>
      <rPr>
        <sz val="11"/>
        <color theme="1"/>
        <rFont val="Noto Sans CJK SC"/>
        <family val="2"/>
      </rPr>
      <t xml:space="preserve">溝距</t>
    </r>
    <r>
      <rPr>
        <sz val="11"/>
        <color theme="1"/>
        <rFont val="Calibri"/>
        <family val="2"/>
        <charset val="1"/>
      </rPr>
      <t xml:space="preserve">100</t>
    </r>
  </si>
  <si>
    <t xml:space="preserve">CP3.2</t>
  </si>
  <si>
    <t xml:space="preserve">PL3.2</t>
  </si>
  <si>
    <t xml:space="preserve">φ3.2@100×100</t>
  </si>
  <si>
    <t xml:space="preserve">H125×125</t>
  </si>
  <si>
    <t xml:space="preserve">H150×75</t>
  </si>
  <si>
    <t xml:space="preserve">H175×175</t>
  </si>
  <si>
    <t xml:space="preserve">H200×100</t>
  </si>
  <si>
    <t xml:space="preserve">H248×124</t>
  </si>
  <si>
    <t xml:space="preserve">H250×125</t>
  </si>
  <si>
    <t xml:space="preserve">H298×149</t>
  </si>
  <si>
    <t xml:space="preserve">H300×150</t>
  </si>
  <si>
    <t xml:space="preserve">H346×174</t>
  </si>
  <si>
    <t xml:space="preserve">H350×175</t>
  </si>
  <si>
    <t xml:space="preserve">H390×300</t>
  </si>
  <si>
    <t xml:space="preserve">H394×398</t>
  </si>
  <si>
    <t xml:space="preserve">H396×199</t>
  </si>
  <si>
    <t xml:space="preserve">H400×200</t>
  </si>
  <si>
    <t xml:space="preserve">H446×199</t>
  </si>
  <si>
    <t xml:space="preserve">H450×200</t>
  </si>
  <si>
    <t xml:space="preserve">H482×300</t>
  </si>
  <si>
    <t xml:space="preserve">H496×199</t>
  </si>
  <si>
    <t xml:space="preserve">H500×200</t>
  </si>
  <si>
    <t xml:space="preserve">H588×300</t>
  </si>
  <si>
    <t xml:space="preserve">H600×200</t>
  </si>
  <si>
    <t xml:space="preserve">H700×300</t>
  </si>
  <si>
    <t xml:space="preserve">H800×300</t>
  </si>
  <si>
    <t xml:space="preserve">H900×300</t>
  </si>
  <si>
    <t xml:space="preserve">I125×75</t>
  </si>
  <si>
    <t xml:space="preserve">I150×75</t>
  </si>
  <si>
    <t xml:space="preserve">I200×100</t>
  </si>
  <si>
    <t xml:space="preserve">I250×125</t>
  </si>
  <si>
    <t xml:space="preserve">I300×150</t>
  </si>
  <si>
    <t xml:space="preserve">I350×150</t>
  </si>
  <si>
    <t xml:space="preserve">I400×150</t>
  </si>
  <si>
    <t xml:space="preserve">C100×50</t>
  </si>
  <si>
    <t xml:space="preserve">C125×65</t>
  </si>
  <si>
    <t xml:space="preserve">C180×75</t>
  </si>
  <si>
    <t xml:space="preserve">C230×80</t>
  </si>
  <si>
    <t xml:space="preserve">C250×90</t>
  </si>
  <si>
    <t xml:space="preserve">C300×90</t>
  </si>
  <si>
    <t xml:space="preserve">C380×100</t>
  </si>
  <si>
    <t xml:space="preserve">P48.6×2.3</t>
  </si>
  <si>
    <t xml:space="preserve">P60.5×2.3</t>
  </si>
  <si>
    <t xml:space="preserve">P76.3×2.8</t>
  </si>
  <si>
    <t xml:space="preserve">P101.6×3.2</t>
  </si>
  <si>
    <t xml:space="preserve">P114.3×3.5</t>
  </si>
  <si>
    <t xml:space="preserve">P139.8×4.0</t>
  </si>
  <si>
    <t xml:space="preserve">P165.2×4.5</t>
  </si>
  <si>
    <t xml:space="preserve">P190.7×5.3</t>
  </si>
  <si>
    <t xml:space="preserve">P216.3×5.8</t>
  </si>
  <si>
    <t xml:space="preserve">P267.4×6.6</t>
  </si>
  <si>
    <t xml:space="preserve">P318.5×6.9</t>
  </si>
  <si>
    <t xml:space="preserve">P355.6×7.9</t>
  </si>
  <si>
    <t xml:space="preserve">P406.4×9.5</t>
  </si>
  <si>
    <t xml:space="preserve">P457.2×9.5</t>
  </si>
  <si>
    <t xml:space="preserve">P508.0×9.5</t>
  </si>
  <si>
    <t xml:space="preserve">L65×65×6</t>
  </si>
  <si>
    <t xml:space="preserve">L75×75×6</t>
  </si>
  <si>
    <t xml:space="preserve">L90×90×7</t>
  </si>
  <si>
    <t xml:space="preserve">L100×100×7</t>
  </si>
  <si>
    <t xml:space="preserve">L125×125×10</t>
  </si>
  <si>
    <t xml:space="preserve">L130×130×12</t>
  </si>
  <si>
    <t xml:space="preserve">L150×150×12</t>
  </si>
  <si>
    <t xml:space="preserve">L200×200×15</t>
  </si>
  <si>
    <t xml:space="preserve">BOX125×125×4.5</t>
  </si>
  <si>
    <t xml:space="preserve">BOX150×150×4.5</t>
  </si>
  <si>
    <t xml:space="preserve">BOX200×200×6</t>
  </si>
  <si>
    <t xml:space="preserve">BOX250×250×6</t>
  </si>
  <si>
    <t xml:space="preserve">BOX300×300×9</t>
  </si>
  <si>
    <t xml:space="preserve">BOX350×350×12</t>
  </si>
  <si>
    <t xml:space="preserve">BOX400×400×12</t>
  </si>
  <si>
    <t xml:space="preserve">BOX500×500×16</t>
  </si>
  <si>
    <t xml:space="preserve">BOX600×600×19</t>
  </si>
  <si>
    <r>
      <rPr>
        <sz val="11"/>
        <color theme="1"/>
        <rFont val="Calibri"/>
        <family val="2"/>
        <charset val="1"/>
      </rPr>
      <t xml:space="preserve">FB50×6 </t>
    </r>
    <r>
      <rPr>
        <sz val="11"/>
        <color theme="1"/>
        <rFont val="Noto Sans CJK SC"/>
        <family val="2"/>
      </rPr>
      <t xml:space="preserve">水溝蓋</t>
    </r>
  </si>
  <si>
    <r>
      <rPr>
        <sz val="11"/>
        <color theme="1"/>
        <rFont val="Calibri"/>
        <family val="2"/>
        <charset val="1"/>
      </rPr>
      <t xml:space="preserve">FB65×6 </t>
    </r>
    <r>
      <rPr>
        <sz val="11"/>
        <color theme="1"/>
        <rFont val="Noto Sans CJK SC"/>
        <family val="2"/>
      </rPr>
      <t xml:space="preserve">水溝蓋</t>
    </r>
  </si>
  <si>
    <r>
      <rPr>
        <sz val="11"/>
        <color theme="1"/>
        <rFont val="Calibri"/>
        <family val="2"/>
        <charset val="1"/>
      </rPr>
      <t xml:space="preserve">FB75×6 </t>
    </r>
    <r>
      <rPr>
        <sz val="11"/>
        <color theme="1"/>
        <rFont val="Noto Sans CJK SC"/>
        <family val="2"/>
      </rPr>
      <t xml:space="preserve">水溝蓋</t>
    </r>
  </si>
  <si>
    <r>
      <rPr>
        <sz val="11"/>
        <color theme="1"/>
        <rFont val="Calibri"/>
        <family val="2"/>
        <charset val="1"/>
      </rPr>
      <t xml:space="preserve">FB90×6 </t>
    </r>
    <r>
      <rPr>
        <sz val="11"/>
        <color theme="1"/>
        <rFont val="Noto Sans CJK SC"/>
        <family val="2"/>
      </rPr>
      <t xml:space="preserve">水溝蓋</t>
    </r>
  </si>
  <si>
    <t xml:space="preserve">φ4.0@200×200</t>
  </si>
  <si>
    <t xml:space="preserve">φ5.0@100×100</t>
  </si>
  <si>
    <t xml:space="preserve">φ5.0@150×150</t>
  </si>
  <si>
    <t xml:space="preserve">φ5.0@200×200</t>
  </si>
  <si>
    <t xml:space="preserve">φ6.0@100×100</t>
  </si>
  <si>
    <t xml:space="preserve">φ6.0@150×150</t>
  </si>
  <si>
    <t xml:space="preserve">φ6.0@200×200</t>
  </si>
  <si>
    <t xml:space="preserve">L50×50×6</t>
  </si>
  <si>
    <t xml:space="preserve">BOX100×100×4.5</t>
  </si>
  <si>
    <t xml:space="preserve">CP4.5</t>
  </si>
  <si>
    <t xml:space="preserve">PL4.5</t>
  </si>
  <si>
    <t xml:space="preserve">H150×150</t>
  </si>
  <si>
    <t xml:space="preserve">H200×200</t>
  </si>
  <si>
    <t xml:space="preserve">H244×252</t>
  </si>
  <si>
    <t xml:space="preserve">H250×250</t>
  </si>
  <si>
    <t xml:space="preserve">H294×302</t>
  </si>
  <si>
    <t xml:space="preserve">H300×300</t>
  </si>
  <si>
    <t xml:space="preserve">H340×250</t>
  </si>
  <si>
    <t xml:space="preserve">H350×350</t>
  </si>
  <si>
    <t xml:space="preserve">H400×400</t>
  </si>
  <si>
    <t xml:space="preserve">H500×300</t>
  </si>
  <si>
    <t xml:space="preserve">H600×300</t>
  </si>
  <si>
    <t xml:space="preserve">L65×65×8</t>
  </si>
  <si>
    <t xml:space="preserve">L75×75×9</t>
  </si>
  <si>
    <t xml:space="preserve">L90×90×10</t>
  </si>
  <si>
    <t xml:space="preserve">L150×150×15</t>
  </si>
  <si>
    <t xml:space="preserve">L200×200×20</t>
  </si>
  <si>
    <t xml:space="preserve">BOX125×125×6</t>
  </si>
  <si>
    <t xml:space="preserve">BOX150×150×6</t>
  </si>
  <si>
    <t xml:space="preserve">BOX200×200×8</t>
  </si>
  <si>
    <t xml:space="preserve">BOX250×250×9</t>
  </si>
  <si>
    <t xml:space="preserve">BOX300×300×12</t>
  </si>
  <si>
    <t xml:space="preserve">BOX350×350×16</t>
  </si>
  <si>
    <t xml:space="preserve">BOX400×400×16</t>
  </si>
  <si>
    <t xml:space="preserve">BOX600×600×22</t>
  </si>
  <si>
    <t xml:space="preserve">BOX100×100×6</t>
  </si>
  <si>
    <t xml:space="preserve">#5(D16)</t>
  </si>
  <si>
    <t xml:space="preserve">L100×100×13</t>
  </si>
  <si>
    <t xml:space="preserve">BOX150×150×9</t>
  </si>
  <si>
    <t xml:space="preserve">BOX200×200×9</t>
  </si>
  <si>
    <t xml:space="preserve">BOX250×250×12</t>
  </si>
  <si>
    <t xml:space="preserve">BOX300×300×16</t>
  </si>
  <si>
    <t xml:space="preserve">BOX500×500×22</t>
  </si>
  <si>
    <t xml:space="preserve">CP8</t>
  </si>
  <si>
    <t xml:space="preserve">PL8</t>
  </si>
  <si>
    <t xml:space="preserve">BOX200×200×12</t>
  </si>
  <si>
    <t xml:space="preserve">BOX400×400×22</t>
  </si>
  <si>
    <t xml:space="preserve">CP9</t>
  </si>
  <si>
    <t xml:space="preserve">PL9</t>
  </si>
  <si>
    <t xml:space="preserve">CP10</t>
  </si>
  <si>
    <t xml:space="preserve">PL10</t>
  </si>
  <si>
    <t xml:space="preserve">CP12</t>
  </si>
  <si>
    <t xml:space="preserve">PL12</t>
  </si>
  <si>
    <t xml:space="preserve">PL14</t>
  </si>
  <si>
    <t xml:space="preserve">PL16</t>
  </si>
  <si>
    <t xml:space="preserve">PL19</t>
  </si>
  <si>
    <t xml:space="preserve">PL22</t>
  </si>
  <si>
    <t xml:space="preserve">PL25</t>
  </si>
  <si>
    <t xml:space="preserve">規格名稱</t>
  </si>
  <si>
    <t xml:space="preserve">斷面類型</t>
  </si>
  <si>
    <t xml:space="preserve">col4</t>
  </si>
  <si>
    <t xml:space="preserve">col5</t>
  </si>
  <si>
    <t xml:space="preserve">kg/m</t>
  </si>
  <si>
    <r>
      <rPr>
        <sz val="10"/>
        <rFont val="Arial"/>
        <family val="0"/>
        <charset val="1"/>
      </rPr>
      <t xml:space="preserve">25×4.5 @30 </t>
    </r>
    <r>
      <rPr>
        <sz val="10"/>
        <rFont val="Noto Sans CJK SC"/>
        <family val="2"/>
      </rPr>
      <t xml:space="preserve">溝距</t>
    </r>
    <r>
      <rPr>
        <sz val="10"/>
        <rFont val="Arial"/>
        <family val="0"/>
        <charset val="1"/>
      </rPr>
      <t xml:space="preserve">100</t>
    </r>
  </si>
  <si>
    <t xml:space="preserve">kg/m²</t>
  </si>
  <si>
    <r>
      <rPr>
        <sz val="10"/>
        <rFont val="Arial"/>
        <family val="0"/>
        <charset val="1"/>
      </rPr>
      <t xml:space="preserve">FB50×6 </t>
    </r>
    <r>
      <rPr>
        <sz val="10"/>
        <rFont val="Noto Sans CJK SC"/>
        <family val="2"/>
      </rPr>
      <t xml:space="preserve">水溝蓋</t>
    </r>
  </si>
  <si>
    <r>
      <rPr>
        <sz val="10"/>
        <rFont val="Arial"/>
        <family val="0"/>
        <charset val="1"/>
      </rPr>
      <t xml:space="preserve">FB65×6 </t>
    </r>
    <r>
      <rPr>
        <sz val="10"/>
        <rFont val="Noto Sans CJK SC"/>
        <family val="2"/>
      </rPr>
      <t xml:space="preserve">水溝蓋</t>
    </r>
  </si>
  <si>
    <r>
      <rPr>
        <sz val="10"/>
        <rFont val="Arial"/>
        <family val="0"/>
        <charset val="1"/>
      </rPr>
      <t xml:space="preserve">FB75×6 </t>
    </r>
    <r>
      <rPr>
        <sz val="10"/>
        <rFont val="Noto Sans CJK SC"/>
        <family val="2"/>
      </rPr>
      <t xml:space="preserve">水溝蓋</t>
    </r>
  </si>
  <si>
    <r>
      <rPr>
        <sz val="10"/>
        <rFont val="Arial"/>
        <family val="0"/>
        <charset val="1"/>
      </rPr>
      <t xml:space="preserve">FB90×6 </t>
    </r>
    <r>
      <rPr>
        <sz val="10"/>
        <rFont val="Noto Sans CJK SC"/>
        <family val="2"/>
      </rPr>
      <t xml:space="preserve">水溝蓋</t>
    </r>
  </si>
  <si>
    <t xml:space="preserve">H150×100</t>
  </si>
  <si>
    <t xml:space="preserve">H175×90</t>
  </si>
  <si>
    <t xml:space="preserve">H450×300</t>
  </si>
  <si>
    <t xml:space="preserve">H606×201</t>
  </si>
  <si>
    <t xml:space="preserve">I150×125</t>
  </si>
  <si>
    <t xml:space="preserve">I180×100</t>
  </si>
  <si>
    <t xml:space="preserve">I200×150</t>
  </si>
  <si>
    <t xml:space="preserve">I450×175</t>
  </si>
  <si>
    <t xml:space="preserve">I600×190</t>
  </si>
  <si>
    <t xml:space="preserve">C200×90</t>
  </si>
  <si>
    <t xml:space="preserve">BOX400×400×25</t>
  </si>
  <si>
    <t xml:space="preserve">BOX400×400×28</t>
  </si>
  <si>
    <t xml:space="preserve">BOX400×400×32</t>
  </si>
  <si>
    <t xml:space="preserve">BOX400×400×36</t>
  </si>
  <si>
    <t xml:space="preserve">BOX450×450×16</t>
  </si>
  <si>
    <t xml:space="preserve">BOX450×450×19</t>
  </si>
  <si>
    <t xml:space="preserve">BOX450×450×22</t>
  </si>
  <si>
    <t xml:space="preserve">BOX450×450×28</t>
  </si>
  <si>
    <t xml:space="preserve">BOX450×450×32</t>
  </si>
  <si>
    <t xml:space="preserve">BOX450×450×36</t>
  </si>
  <si>
    <t xml:space="preserve">BOX500×500×25</t>
  </si>
  <si>
    <t xml:space="preserve">BOX500×500×32</t>
  </si>
  <si>
    <t xml:space="preserve">BOX500×500×36</t>
  </si>
  <si>
    <t xml:space="preserve">BOX500×500×40</t>
  </si>
  <si>
    <t xml:space="preserve">BOX550×550×19</t>
  </si>
  <si>
    <t xml:space="preserve">BOX550×550×22</t>
  </si>
  <si>
    <t xml:space="preserve">BOX550×550×25</t>
  </si>
  <si>
    <t xml:space="preserve">BOX550×550×32</t>
  </si>
  <si>
    <t xml:space="preserve">BOX550×550×36</t>
  </si>
  <si>
    <t xml:space="preserve">BOX550×550×40</t>
  </si>
  <si>
    <t xml:space="preserve">BOX600×600×25</t>
  </si>
  <si>
    <t xml:space="preserve">BOX600×600×28</t>
  </si>
  <si>
    <t xml:space="preserve">BOX600×600×32</t>
  </si>
  <si>
    <t xml:space="preserve">BOX600×600×36</t>
  </si>
  <si>
    <t xml:space="preserve">BOX600×600×40</t>
  </si>
  <si>
    <t xml:space="preserve">BOX600×600×45</t>
  </si>
  <si>
    <t xml:space="preserve">BOX600×600×50</t>
  </si>
  <si>
    <t xml:space="preserve">BOX650×650×22</t>
  </si>
  <si>
    <t xml:space="preserve">BOX650×650×25</t>
  </si>
  <si>
    <t xml:space="preserve">BOX650×650×28</t>
  </si>
  <si>
    <t xml:space="preserve">BOX650×650×32</t>
  </si>
  <si>
    <t xml:space="preserve">BOX650×650×36</t>
  </si>
  <si>
    <t xml:space="preserve">BOX650×650×40</t>
  </si>
  <si>
    <t xml:space="preserve">BOX650×650×45</t>
  </si>
  <si>
    <t xml:space="preserve">BOX650×650×50</t>
  </si>
  <si>
    <t xml:space="preserve">BOX700×700×22</t>
  </si>
  <si>
    <t xml:space="preserve">BOX700×700×25</t>
  </si>
  <si>
    <t xml:space="preserve">BOX700×700×28</t>
  </si>
  <si>
    <t xml:space="preserve">BOX700×700×32</t>
  </si>
  <si>
    <t xml:space="preserve">BOX700×700×36</t>
  </si>
  <si>
    <t xml:space="preserve">BOX700×700×40</t>
  </si>
  <si>
    <t xml:space="preserve">BOX700×700×45</t>
  </si>
  <si>
    <t xml:space="preserve">BOX700×700×50</t>
  </si>
  <si>
    <t xml:space="preserve">BOX750×750×22</t>
  </si>
  <si>
    <t xml:space="preserve">BOX750×750×25</t>
  </si>
  <si>
    <t xml:space="preserve">BOX750×750×28</t>
  </si>
  <si>
    <t xml:space="preserve">BOX750×750×32</t>
  </si>
  <si>
    <t xml:space="preserve">BOX750×750×36</t>
  </si>
  <si>
    <t xml:space="preserve">BOX750×750×40</t>
  </si>
  <si>
    <t xml:space="preserve">BOX750×750×45</t>
  </si>
  <si>
    <t xml:space="preserve">BOX750×750×50</t>
  </si>
  <si>
    <t xml:space="preserve">BOX800×800×25</t>
  </si>
  <si>
    <t xml:space="preserve">BOX800×800×28</t>
  </si>
  <si>
    <t xml:space="preserve">BOX800×800×32</t>
  </si>
  <si>
    <t xml:space="preserve">BOX800×800×40</t>
  </si>
  <si>
    <t xml:space="preserve">BOX800×800×45</t>
  </si>
  <si>
    <t xml:space="preserve">BOX800×800×50</t>
  </si>
  <si>
    <t xml:space="preserve">BOX850×850×25</t>
  </si>
  <si>
    <t xml:space="preserve">BOX850×850×28</t>
  </si>
  <si>
    <t xml:space="preserve">BOX850×850×36</t>
  </si>
  <si>
    <t xml:space="preserve">BOX850×850×40</t>
  </si>
  <si>
    <t xml:space="preserve">BOX850×850×45</t>
  </si>
  <si>
    <t xml:space="preserve">BOX850×850×50</t>
  </si>
  <si>
    <t xml:space="preserve">BOX900×900×25</t>
  </si>
  <si>
    <t xml:space="preserve">BOX900×900×28</t>
  </si>
  <si>
    <t xml:space="preserve">BOX900×900×32</t>
  </si>
  <si>
    <t xml:space="preserve">BOX900×900×40</t>
  </si>
  <si>
    <t xml:space="preserve">BOX900×900×45</t>
  </si>
  <si>
    <t xml:space="preserve">BOX900×900×50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</si>
</sst>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#,##0"/>
    <numFmt numFmtId="167" formatCode="0.0"/>
    <numFmt numFmtId="168" formatCode="0.000"/>
    <numFmt numFmtId="169" formatCode="0.00"/>
    <numFmt numFmtId="170" formatCode="0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Noto Sans CJK SC"/>
      <family val="2"/>
      <charset val="1"/>
    </font>
    <font>
      <sz val="9"/>
      <color rgb="FF808080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color rgb="FF0000FF"/>
      <name val="Noto Sans CJK SC"/>
      <family val="2"/>
      <charset val="1"/>
    </font>
    <font>
      <sz val="10"/>
      <color rgb="FF0000FF"/>
      <name val="Arial"/>
      <family val="0"/>
      <charset val="1"/>
    </font>
    <font>
      <b val="true"/>
      <sz val="12"/>
      <color rgb="FF2F5496"/>
      <name val="Noto Sans CJK SC"/>
      <family val="2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name val="Arial"/>
      <family val="0"/>
      <charset val="1"/>
    </font>
    <font>
      <sz val="9"/>
      <color rgb="FF808080"/>
      <name val="Arial"/>
      <family val="0"/>
      <charset val="1"/>
    </font>
    <font>
      <sz val="10"/>
      <name val="Noto Sans CJK SC"/>
      <family val="2"/>
    </font>
    <font>
      <sz val="10"/>
      <color rgb="FF1F4E79"/>
      <name val="Arial"/>
      <family val="0"/>
      <charset val="1"/>
    </font>
    <font>
      <sz val="10"/>
      <color rgb="FF1F4E79"/>
      <name val="Noto Sans CJK SC"/>
      <family val="2"/>
      <charset val="1"/>
    </font>
    <font>
      <b val="true"/>
      <sz val="10"/>
      <color rgb="FF375623"/>
      <name val="Noto Sans CJK SC"/>
      <family val="2"/>
      <charset val="1"/>
    </font>
    <font>
      <b val="true"/>
      <sz val="10"/>
      <color rgb="FF375623"/>
      <name val="Arial"/>
      <family val="0"/>
      <charset val="1"/>
    </font>
    <font>
      <sz val="9"/>
      <color rgb="FF808080"/>
      <name val="Noto Sans CJK SC"/>
      <family val="2"/>
    </font>
    <font>
      <b val="true"/>
      <sz val="10"/>
      <color rgb="FF375623"/>
      <name val="Noto Sans CJK SC"/>
      <family val="2"/>
    </font>
    <font>
      <sz val="10"/>
      <color rgb="FF1F4E79"/>
      <name val="Noto Sans CJK SC"/>
      <family val="2"/>
    </font>
    <font>
      <sz val="9"/>
      <color rgb="FFC00000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b val="true"/>
      <sz val="11"/>
      <color rgb="FFFFFFFF"/>
      <name val="Arial"/>
      <family val="0"/>
      <charset val="1"/>
    </font>
    <font>
      <sz val="10"/>
      <name val="Noto Sans CJK SC"/>
      <family val="2"/>
      <charset val="1"/>
    </font>
    <font>
      <b val="true"/>
      <sz val="12"/>
      <color rgb="FF2F5496"/>
      <name val="Arial"/>
      <family val="0"/>
      <charset val="1"/>
    </font>
    <font>
      <b val="true"/>
      <sz val="12"/>
      <color rgb="FF2F5496"/>
      <name val="Noto Sans CJK SC"/>
      <family val="2"/>
    </font>
    <font>
      <sz val="11"/>
      <color theme="1"/>
      <name val="Noto Sans CJK SC"/>
      <family val="2"/>
      <charset val="1"/>
    </font>
    <font>
      <sz val="11"/>
      <color theme="1"/>
      <name val="Noto Sans CJK SC"/>
      <family val="2"/>
    </font>
  </fonts>
  <fills count="9">
    <fill>
      <patternFill patternType="none"/>
    </fill>
    <fill>
      <patternFill patternType="gray125"/>
    </fill>
    <fill>
      <patternFill patternType="solid">
        <fgColor rgb="FFD6E4F0"/>
        <bgColor rgb="FFD9E2F3"/>
      </patternFill>
    </fill>
    <fill>
      <patternFill patternType="solid">
        <fgColor rgb="FFFFF2CC"/>
        <bgColor rgb="FFF2F2F2"/>
      </patternFill>
    </fill>
    <fill>
      <patternFill patternType="solid">
        <fgColor rgb="FF2F5496"/>
        <bgColor rgb="FF1F4E79"/>
      </patternFill>
    </fill>
    <fill>
      <patternFill patternType="solid">
        <fgColor rgb="FFD9E2F3"/>
        <bgColor rgb="FFD6E4F0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2CC"/>
      <rgbColor rgb="FFD6E4F0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BF8F00"/>
      <rgbColor rgb="FFED7D31"/>
      <rgbColor rgb="FF666699"/>
      <rgbColor rgb="FFA6A6A6"/>
      <rgbColor rgb="FF1F4E79"/>
      <rgbColor rgb="FF339966"/>
      <rgbColor rgb="FF003300"/>
      <rgbColor rgb="FF333300"/>
      <rgbColor rgb="FF993300"/>
      <rgbColor rgb="FF993366"/>
      <rgbColor rgb="FF2F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8"/>
    <col collapsed="false" customWidth="true" hidden="false" outlineLevel="0" max="3" min="3" style="1" width="22"/>
    <col collapsed="false" customWidth="true" hidden="false" outlineLevel="0" max="4" min="4" style="1" width="24"/>
  </cols>
  <sheetData>
    <row r="1" customFormat="false" ht="21" hidden="false" customHeight="true" outlineLevel="0" collapsed="false">
      <c r="A1" s="2" t="s">
        <v>0</v>
      </c>
      <c r="B1" s="2"/>
      <c r="C1" s="2"/>
      <c r="D1" s="2"/>
    </row>
    <row r="2" customFormat="false" ht="13.5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5"/>
    </row>
    <row r="8" customFormat="false" ht="15" hidden="false" customHeight="true" outlineLevel="0" collapsed="false">
      <c r="A8" s="7" t="s">
        <v>7</v>
      </c>
      <c r="B8" s="7"/>
    </row>
    <row r="9" customFormat="false" ht="15" hidden="false" customHeight="true" outlineLevel="0" collapsed="false">
      <c r="A9" s="4" t="s">
        <v>8</v>
      </c>
      <c r="B9" s="8" t="n">
        <v>0.1</v>
      </c>
      <c r="C9" s="9" t="s">
        <v>9</v>
      </c>
    </row>
    <row r="10" customFormat="false" ht="15" hidden="false" customHeight="true" outlineLevel="0" collapsed="false">
      <c r="A10" s="4" t="s">
        <v>10</v>
      </c>
      <c r="B10" s="10" t="n">
        <v>30000</v>
      </c>
    </row>
    <row r="11" customFormat="false" ht="15" hidden="false" customHeight="true" outlineLevel="0" collapsed="false">
      <c r="A11" s="4" t="s">
        <v>11</v>
      </c>
      <c r="B11" s="10" t="n">
        <v>350</v>
      </c>
    </row>
    <row r="12" customFormat="false" ht="15" hidden="false" customHeight="true" outlineLevel="0" collapsed="false">
      <c r="A12" s="4" t="s">
        <v>12</v>
      </c>
      <c r="B12" s="10" t="n">
        <v>600</v>
      </c>
    </row>
    <row r="13" customFormat="false" ht="15" hidden="false" customHeight="true" outlineLevel="0" collapsed="false">
      <c r="A13" s="4" t="s">
        <v>13</v>
      </c>
      <c r="B13" s="10" t="n">
        <v>1000</v>
      </c>
    </row>
    <row r="14" customFormat="false" ht="15" hidden="false" customHeight="true" outlineLevel="0" collapsed="false">
      <c r="A14" s="4" t="s">
        <v>14</v>
      </c>
      <c r="B14" s="10" t="n">
        <v>1200</v>
      </c>
    </row>
    <row r="15" customFormat="false" ht="15" hidden="false" customHeight="true" outlineLevel="0" collapsed="false">
      <c r="A15" s="11" t="s">
        <v>15</v>
      </c>
      <c r="B15" s="10" t="n">
        <v>3500</v>
      </c>
    </row>
    <row r="16" customFormat="false" ht="15" hidden="false" customHeight="true" outlineLevel="0" collapsed="false">
      <c r="A16" s="4" t="s">
        <v>16</v>
      </c>
      <c r="B16" s="10" t="n">
        <v>250</v>
      </c>
    </row>
    <row r="17" customFormat="false" ht="15" hidden="false" customHeight="true" outlineLevel="0" collapsed="false">
      <c r="A17" s="11" t="s">
        <v>17</v>
      </c>
      <c r="B17" s="10" t="n">
        <v>35000</v>
      </c>
    </row>
    <row r="18" customFormat="false" ht="15" hidden="false" customHeight="true" outlineLevel="0" collapsed="false">
      <c r="A18" s="4" t="s">
        <v>18</v>
      </c>
      <c r="B18" s="10" t="n">
        <v>28000</v>
      </c>
    </row>
    <row r="20" customFormat="false" ht="15" hidden="false" customHeight="true" outlineLevel="0" collapsed="false">
      <c r="A20" s="7" t="s">
        <v>19</v>
      </c>
      <c r="B20" s="7"/>
      <c r="C20" s="7"/>
      <c r="D20" s="7"/>
    </row>
    <row r="21" customFormat="false" ht="15" hidden="false" customHeight="true" outlineLevel="0" collapsed="false">
      <c r="A21" s="12" t="s">
        <v>20</v>
      </c>
      <c r="B21" s="12" t="s">
        <v>21</v>
      </c>
      <c r="C21" s="13" t="s">
        <v>22</v>
      </c>
      <c r="D21" s="12" t="s">
        <v>23</v>
      </c>
    </row>
    <row r="22" customFormat="false" ht="15" hidden="false" customHeight="true" outlineLevel="0" collapsed="false">
      <c r="A22" s="14" t="s">
        <v>24</v>
      </c>
      <c r="B22" s="15" t="s">
        <v>25</v>
      </c>
      <c r="C22" s="16" t="n">
        <v>2400</v>
      </c>
      <c r="D22" s="17" t="s">
        <v>26</v>
      </c>
    </row>
    <row r="23" customFormat="false" ht="15" hidden="false" customHeight="true" outlineLevel="0" collapsed="false">
      <c r="A23" s="14" t="s">
        <v>24</v>
      </c>
      <c r="B23" s="15" t="s">
        <v>27</v>
      </c>
      <c r="C23" s="16" t="n">
        <v>2200</v>
      </c>
      <c r="D23" s="17" t="s">
        <v>26</v>
      </c>
    </row>
    <row r="24" customFormat="false" ht="15" hidden="false" customHeight="true" outlineLevel="0" collapsed="false">
      <c r="A24" s="14" t="s">
        <v>28</v>
      </c>
      <c r="B24" s="15"/>
      <c r="C24" s="16" t="n">
        <v>3300</v>
      </c>
      <c r="D24" s="17" t="s">
        <v>29</v>
      </c>
    </row>
    <row r="25" customFormat="false" ht="15" hidden="false" customHeight="true" outlineLevel="0" collapsed="false">
      <c r="A25" s="14" t="s">
        <v>30</v>
      </c>
      <c r="B25" s="15"/>
      <c r="C25" s="16" t="n">
        <v>3450</v>
      </c>
      <c r="D25" s="17" t="s">
        <v>31</v>
      </c>
    </row>
    <row r="26" customFormat="false" ht="15" hidden="false" customHeight="true" outlineLevel="0" collapsed="false">
      <c r="A26" s="14" t="s">
        <v>32</v>
      </c>
      <c r="B26" s="15" t="s">
        <v>33</v>
      </c>
      <c r="C26" s="16" t="n">
        <v>2400</v>
      </c>
      <c r="D26" s="17"/>
    </row>
  </sheetData>
  <mergeCells count="4">
    <mergeCell ref="A1:D1"/>
    <mergeCell ref="A2:D2"/>
    <mergeCell ref="A8:B8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X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5" min="4" style="1" width="12"/>
    <col collapsed="false" customWidth="true" hidden="false" outlineLevel="0" max="6" min="6" style="1" width="7"/>
    <col collapsed="false" customWidth="true" hidden="false" outlineLevel="0" max="8" min="7" style="1" width="13"/>
    <col collapsed="false" customWidth="true" hidden="false" outlineLevel="0" max="9" min="9" style="1" width="12"/>
    <col collapsed="false" customWidth="true" hidden="false" outlineLevel="0" max="11" min="10" style="1" width="11"/>
    <col collapsed="false" customWidth="true" hidden="false" outlineLevel="0" max="13" min="12" style="1" width="12"/>
  </cols>
  <sheetData>
    <row r="1" customFormat="false" ht="15" hidden="false" customHeight="true" outlineLevel="0" collapsed="false">
      <c r="A1" s="3" t="s">
        <v>34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3" customFormat="false" ht="18.75" hidden="false" customHeight="true" outlineLevel="0" collapsed="false">
      <c r="A3" s="7" t="s">
        <v>35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customFormat="false" ht="43.5" hidden="false" customHeight="true" outlineLevel="0" collapsed="false">
      <c r="A4" s="12" t="s">
        <v>36</v>
      </c>
      <c r="B4" s="12" t="s">
        <v>37</v>
      </c>
      <c r="C4" s="12" t="s">
        <v>38</v>
      </c>
      <c r="D4" s="12" t="s">
        <v>39</v>
      </c>
      <c r="E4" s="12" t="s">
        <v>40</v>
      </c>
      <c r="F4" s="12" t="s">
        <v>41</v>
      </c>
      <c r="G4" s="12" t="s">
        <v>42</v>
      </c>
      <c r="H4" s="12" t="s">
        <v>43</v>
      </c>
      <c r="I4" s="12" t="s">
        <v>44</v>
      </c>
      <c r="J4" s="12" t="s">
        <v>45</v>
      </c>
      <c r="K4" s="12" t="s">
        <v>46</v>
      </c>
      <c r="L4" s="12" t="s">
        <v>47</v>
      </c>
      <c r="M4" s="12" t="s">
        <v>48</v>
      </c>
    </row>
    <row r="5" customFormat="false" ht="15" hidden="false" customHeight="true" outlineLevel="0" collapsed="false">
      <c r="A5" s="18" t="s">
        <v>49</v>
      </c>
      <c r="B5" s="19" t="s">
        <v>50</v>
      </c>
      <c r="C5" s="18" t="s">
        <v>51</v>
      </c>
      <c r="D5" s="18" t="s">
        <v>24</v>
      </c>
      <c r="E5" s="19" t="n">
        <v>7500</v>
      </c>
      <c r="F5" s="19" t="n">
        <v>2</v>
      </c>
      <c r="G5" s="20" t="s">
        <v>52</v>
      </c>
      <c r="H5" s="21"/>
      <c r="I5" s="20" t="s">
        <v>53</v>
      </c>
      <c r="J5" s="22" t="n">
        <f aca="false">IFERROR(VLOOKUP(C5,規格資料庫!$A$2:$E$162,3,FALSE()),"")</f>
        <v>55.8</v>
      </c>
      <c r="K5" s="23" t="n">
        <f aca="false">IFERROR(VLOOKUP(C5,規格資料庫!$A$2:$E$162,4,FALSE()),"")</f>
        <v>1.372</v>
      </c>
      <c r="L5" s="24" t="n">
        <f aca="false">IF(J5="","",J5*E5/1000*F5)</f>
        <v>837</v>
      </c>
      <c r="M5" s="25" t="n">
        <f aca="false">IF(OR(C5="",G5="",G5="無"),"",IFERROR(K5*IF(OR(H5="",H5=0),E5,H5)/1000*F5-IF(I5="是",VLOOKUP(C5,規格資料庫!$A$2:$E$162,5,FALSE())/1000*IF(OR(H5="",H5=0),E5,H5)/1000*F5,0),""))</f>
        <v>20.58</v>
      </c>
      <c r="N5" s="1" t="str">
        <f aca="false">IFERROR(VLOOKUP(C5,規格資料庫!$A$2:$B$162,2,FALSE()),"")</f>
        <v>H</v>
      </c>
    </row>
    <row r="6" customFormat="false" ht="15" hidden="false" customHeight="true" outlineLevel="0" collapsed="false">
      <c r="A6" s="18" t="s">
        <v>49</v>
      </c>
      <c r="B6" s="19" t="s">
        <v>54</v>
      </c>
      <c r="C6" s="18" t="s">
        <v>55</v>
      </c>
      <c r="D6" s="18" t="s">
        <v>24</v>
      </c>
      <c r="E6" s="19" t="n">
        <v>7500</v>
      </c>
      <c r="F6" s="19" t="n">
        <v>2</v>
      </c>
      <c r="G6" s="20" t="s">
        <v>52</v>
      </c>
      <c r="H6" s="21"/>
      <c r="I6" s="20" t="s">
        <v>53</v>
      </c>
      <c r="J6" s="22" t="n">
        <f aca="false">IFERROR(VLOOKUP(C6,規格資料庫!$A$2:$E$162,3,FALSE()),"")</f>
        <v>43.6</v>
      </c>
      <c r="K6" s="23" t="n">
        <f aca="false">IFERROR(VLOOKUP(C6,規格資料庫!$A$2:$E$162,4,FALSE()),"")</f>
        <v>1.174</v>
      </c>
      <c r="L6" s="24" t="n">
        <f aca="false">IF(J6="","",J6*E6/1000*F6)</f>
        <v>654</v>
      </c>
      <c r="M6" s="25" t="n">
        <f aca="false">IF(OR(C6="",G6="",G6="無"),"",IFERROR(K6*IF(OR(H6="",H6=0),E6,H6)/1000*F6-IF(I6="是",VLOOKUP(C6,規格資料庫!$A$2:$E$162,5,FALSE())/1000*IF(OR(H6="",H6=0),E6,H6)/1000*F6,0),""))</f>
        <v>17.61</v>
      </c>
      <c r="N6" s="1" t="str">
        <f aca="false">IFERROR(VLOOKUP(C6,規格資料庫!$A$2:$B$162,2,FALSE()),"")</f>
        <v>H</v>
      </c>
    </row>
    <row r="7" customFormat="false" ht="15" hidden="false" customHeight="true" outlineLevel="0" collapsed="false">
      <c r="A7" s="18" t="s">
        <v>49</v>
      </c>
      <c r="B7" s="19" t="s">
        <v>56</v>
      </c>
      <c r="C7" s="18" t="s">
        <v>57</v>
      </c>
      <c r="D7" s="18" t="s">
        <v>24</v>
      </c>
      <c r="E7" s="19" t="n">
        <v>2500</v>
      </c>
      <c r="F7" s="19" t="n">
        <v>6</v>
      </c>
      <c r="G7" s="20" t="s">
        <v>52</v>
      </c>
      <c r="H7" s="21"/>
      <c r="I7" s="20" t="s">
        <v>53</v>
      </c>
      <c r="J7" s="22" t="n">
        <f aca="false">IFERROR(VLOOKUP(C7,規格資料庫!$A$2:$E$162,3,FALSE()),"")</f>
        <v>29.9</v>
      </c>
      <c r="K7" s="23" t="n">
        <f aca="false">IFERROR(VLOOKUP(C7,規格資料庫!$A$2:$E$162,4,FALSE()),"")</f>
        <v>0.976</v>
      </c>
      <c r="L7" s="24" t="n">
        <f aca="false">IF(J7="","",J7*E7/1000*F7)</f>
        <v>448.5</v>
      </c>
      <c r="M7" s="25" t="n">
        <f aca="false">IF(OR(C7="",G7="",G7="無"),"",IFERROR(K7*IF(OR(H7="",H7=0),E7,H7)/1000*F7-IF(I7="是",VLOOKUP(C7,規格資料庫!$A$2:$E$162,5,FALSE())/1000*IF(OR(H7="",H7=0),E7,H7)/1000*F7,0),""))</f>
        <v>14.64</v>
      </c>
      <c r="N7" s="1" t="str">
        <f aca="false">IFERROR(VLOOKUP(C7,規格資料庫!$A$2:$B$162,2,FALSE()),"")</f>
        <v>H</v>
      </c>
    </row>
    <row r="8" customFormat="false" ht="15" hidden="false" customHeight="true" outlineLevel="0" collapsed="false">
      <c r="A8" s="18" t="s">
        <v>58</v>
      </c>
      <c r="B8" s="19" t="s">
        <v>59</v>
      </c>
      <c r="C8" s="18" t="s">
        <v>60</v>
      </c>
      <c r="D8" s="18" t="s">
        <v>24</v>
      </c>
      <c r="E8" s="19" t="n">
        <v>6000</v>
      </c>
      <c r="F8" s="19" t="n">
        <v>4</v>
      </c>
      <c r="G8" s="20" t="s">
        <v>61</v>
      </c>
      <c r="H8" s="21"/>
      <c r="I8" s="20" t="s">
        <v>53</v>
      </c>
      <c r="J8" s="22" t="n">
        <f aca="false">IFERROR(VLOOKUP(C8,規格資料庫!$A$2:$E$162,3,FALSE()),"")</f>
        <v>210</v>
      </c>
      <c r="K8" s="23" t="n">
        <f aca="false">IFERROR(VLOOKUP(C8,規格資料庫!$A$2:$E$162,4,FALSE()),"")</f>
        <v>1.6</v>
      </c>
      <c r="L8" s="24" t="n">
        <f aca="false">IF(J8="","",J8*E8/1000*F8)</f>
        <v>5040</v>
      </c>
      <c r="M8" s="25" t="n">
        <f aca="false">IF(OR(C8="",G8="",G8="無"),"",IFERROR(K8*IF(OR(H8="",H8=0),E8,H8)/1000*F8-IF(I8="是",VLOOKUP(C8,規格資料庫!$A$2:$E$162,5,FALSE())/1000*IF(OR(H8="",H8=0),E8,H8)/1000*F8,0),""))</f>
        <v>38.4</v>
      </c>
      <c r="N8" s="1" t="str">
        <f aca="false">IFERROR(VLOOKUP(C8,規格資料庫!$A$2:$B$162,2,FALSE()),"")</f>
        <v>BOX</v>
      </c>
    </row>
    <row r="9" customFormat="false" ht="15" hidden="false" customHeight="true" outlineLevel="0" collapsed="false">
      <c r="A9" s="18" t="s">
        <v>62</v>
      </c>
      <c r="B9" s="19" t="s">
        <v>63</v>
      </c>
      <c r="C9" s="18" t="s">
        <v>64</v>
      </c>
      <c r="D9" s="18" t="s">
        <v>32</v>
      </c>
      <c r="E9" s="19" t="n">
        <v>5000</v>
      </c>
      <c r="F9" s="19" t="n">
        <v>2</v>
      </c>
      <c r="G9" s="20" t="s">
        <v>52</v>
      </c>
      <c r="H9" s="21"/>
      <c r="I9" s="20" t="s">
        <v>53</v>
      </c>
      <c r="J9" s="22" t="n">
        <f aca="false">IFERROR(VLOOKUP(C9,規格資料庫!$A$2:$E$162,3,FALSE()),"")</f>
        <v>14.9</v>
      </c>
      <c r="K9" s="23" t="n">
        <f aca="false">IFERROR(VLOOKUP(C9,規格資料庫!$A$2:$E$162,4,FALSE()),"")</f>
        <v>0.39</v>
      </c>
      <c r="L9" s="24" t="n">
        <f aca="false">IF(J9="","",J9*E9/1000*F9)</f>
        <v>149</v>
      </c>
      <c r="M9" s="25" t="n">
        <f aca="false">IF(OR(C9="",G9="",G9="無"),"",IFERROR(K9*IF(OR(H9="",H9=0),E9,H9)/1000*F9-IF(I9="是",VLOOKUP(C9,規格資料庫!$A$2:$E$162,5,FALSE())/1000*IF(OR(H9="",H9=0),E9,H9)/1000*F9,0),""))</f>
        <v>3.9</v>
      </c>
      <c r="N9" s="1" t="str">
        <f aca="false">IFERROR(VLOOKUP(C9,規格資料庫!$A$2:$B$162,2,FALSE()),"")</f>
        <v>L</v>
      </c>
    </row>
    <row r="10" customFormat="false" ht="15" hidden="false" customHeight="true" outlineLevel="0" collapsed="false">
      <c r="A10" s="26"/>
      <c r="B10" s="21"/>
      <c r="C10" s="26"/>
      <c r="D10" s="26"/>
      <c r="E10" s="21"/>
      <c r="F10" s="21"/>
      <c r="G10" s="26"/>
      <c r="H10" s="21"/>
      <c r="I10" s="26"/>
      <c r="J10" s="22" t="str">
        <f aca="false">IFERROR(VLOOKUP(C10,規格資料庫!$A$2:$E$162,3,FALSE()),"")</f>
        <v/>
      </c>
      <c r="K10" s="23" t="str">
        <f aca="false">IFERROR(VLOOKUP(C10,規格資料庫!$A$2:$E$162,4,FALSE()),"")</f>
        <v/>
      </c>
      <c r="L10" s="24" t="str">
        <f aca="false">IF(J10="","",J10*E10/1000*F10)</f>
        <v/>
      </c>
      <c r="M10" s="25" t="str">
        <f aca="false">IF(OR(C10="",G10="",G10="無"),"",IFERROR(K10*IF(OR(H10="",H10=0),E10,H10)/1000*F10-IF(I10="是",VLOOKUP(C10,規格資料庫!$A$2:$E$162,5,FALSE())/1000*IF(OR(H10="",H10=0),E10,H10)/1000*F10,0),""))</f>
        <v/>
      </c>
      <c r="N10" s="1" t="str">
        <f aca="false">IFERROR(VLOOKUP(C10,規格資料庫!$A$2:$B$162,2,FALSE()),"")</f>
        <v/>
      </c>
    </row>
    <row r="11" customFormat="false" ht="15" hidden="false" customHeight="true" outlineLevel="0" collapsed="false">
      <c r="A11" s="26"/>
      <c r="B11" s="21"/>
      <c r="C11" s="26"/>
      <c r="D11" s="26"/>
      <c r="E11" s="21"/>
      <c r="F11" s="21"/>
      <c r="G11" s="26"/>
      <c r="H11" s="21"/>
      <c r="I11" s="26"/>
      <c r="J11" s="22" t="str">
        <f aca="false">IFERROR(VLOOKUP(C11,規格資料庫!$A$2:$E$162,3,FALSE()),"")</f>
        <v/>
      </c>
      <c r="K11" s="23" t="str">
        <f aca="false">IFERROR(VLOOKUP(C11,規格資料庫!$A$2:$E$162,4,FALSE()),"")</f>
        <v/>
      </c>
      <c r="L11" s="24" t="str">
        <f aca="false">IF(J11="","",J11*E11/1000*F11)</f>
        <v/>
      </c>
      <c r="M11" s="25" t="str">
        <f aca="false">IF(OR(C11="",G11="",G11="無"),"",IFERROR(K11*IF(OR(H11="",H11=0),E11,H11)/1000*F11-IF(I11="是",VLOOKUP(C11,規格資料庫!$A$2:$E$162,5,FALSE())/1000*IF(OR(H11="",H11=0),E11,H11)/1000*F11,0),""))</f>
        <v/>
      </c>
      <c r="N11" s="1" t="str">
        <f aca="false">IFERROR(VLOOKUP(C11,規格資料庫!$A$2:$B$162,2,FALSE()),"")</f>
        <v/>
      </c>
    </row>
    <row r="12" customFormat="false" ht="15" hidden="false" customHeight="true" outlineLevel="0" collapsed="false">
      <c r="A12" s="26"/>
      <c r="B12" s="21"/>
      <c r="C12" s="26"/>
      <c r="D12" s="26"/>
      <c r="E12" s="21"/>
      <c r="F12" s="21"/>
      <c r="G12" s="26"/>
      <c r="H12" s="21"/>
      <c r="I12" s="26"/>
      <c r="J12" s="22" t="str">
        <f aca="false">IFERROR(VLOOKUP(C12,規格資料庫!$A$2:$E$162,3,FALSE()),"")</f>
        <v/>
      </c>
      <c r="K12" s="23" t="str">
        <f aca="false">IFERROR(VLOOKUP(C12,規格資料庫!$A$2:$E$162,4,FALSE()),"")</f>
        <v/>
      </c>
      <c r="L12" s="24" t="str">
        <f aca="false">IF(J12="","",J12*E12/1000*F12)</f>
        <v/>
      </c>
      <c r="M12" s="25" t="str">
        <f aca="false">IF(OR(C12="",G12="",G12="無"),"",IFERROR(K12*IF(OR(H12="",H12=0),E12,H12)/1000*F12-IF(I12="是",VLOOKUP(C12,規格資料庫!$A$2:$E$162,5,FALSE())/1000*IF(OR(H12="",H12=0),E12,H12)/1000*F12,0),""))</f>
        <v/>
      </c>
      <c r="N12" s="1" t="str">
        <f aca="false">IFERROR(VLOOKUP(C12,規格資料庫!$A$2:$B$162,2,FALSE()),"")</f>
        <v/>
      </c>
    </row>
    <row r="13" customFormat="false" ht="15" hidden="false" customHeight="true" outlineLevel="0" collapsed="false">
      <c r="A13" s="26"/>
      <c r="B13" s="21"/>
      <c r="C13" s="26"/>
      <c r="D13" s="26"/>
      <c r="E13" s="21"/>
      <c r="F13" s="21"/>
      <c r="G13" s="26"/>
      <c r="H13" s="21"/>
      <c r="I13" s="26"/>
      <c r="J13" s="22" t="str">
        <f aca="false">IFERROR(VLOOKUP(C13,規格資料庫!$A$2:$E$162,3,FALSE()),"")</f>
        <v/>
      </c>
      <c r="K13" s="23" t="str">
        <f aca="false">IFERROR(VLOOKUP(C13,規格資料庫!$A$2:$E$162,4,FALSE()),"")</f>
        <v/>
      </c>
      <c r="L13" s="24" t="str">
        <f aca="false">IF(J13="","",J13*E13/1000*F13)</f>
        <v/>
      </c>
      <c r="M13" s="25" t="str">
        <f aca="false">IF(OR(C13="",G13="",G13="無"),"",IFERROR(K13*IF(OR(H13="",H13=0),E13,H13)/1000*F13-IF(I13="是",VLOOKUP(C13,規格資料庫!$A$2:$E$162,5,FALSE())/1000*IF(OR(H13="",H13=0),E13,H13)/1000*F13,0),""))</f>
        <v/>
      </c>
      <c r="N13" s="1" t="str">
        <f aca="false">IFERROR(VLOOKUP(C13,規格資料庫!$A$2:$B$162,2,FALSE()),"")</f>
        <v/>
      </c>
    </row>
    <row r="14" customFormat="false" ht="15" hidden="false" customHeight="true" outlineLevel="0" collapsed="false">
      <c r="A14" s="26"/>
      <c r="B14" s="21"/>
      <c r="C14" s="26"/>
      <c r="D14" s="26"/>
      <c r="E14" s="21"/>
      <c r="F14" s="21"/>
      <c r="G14" s="26"/>
      <c r="H14" s="21"/>
      <c r="I14" s="26"/>
      <c r="J14" s="22" t="str">
        <f aca="false">IFERROR(VLOOKUP(C14,規格資料庫!$A$2:$E$162,3,FALSE()),"")</f>
        <v/>
      </c>
      <c r="K14" s="23" t="str">
        <f aca="false">IFERROR(VLOOKUP(C14,規格資料庫!$A$2:$E$162,4,FALSE()),"")</f>
        <v/>
      </c>
      <c r="L14" s="24" t="str">
        <f aca="false">IF(J14="","",J14*E14/1000*F14)</f>
        <v/>
      </c>
      <c r="M14" s="25" t="str">
        <f aca="false">IF(OR(C14="",G14="",G14="無"),"",IFERROR(K14*IF(OR(H14="",H14=0),E14,H14)/1000*F14-IF(I14="是",VLOOKUP(C14,規格資料庫!$A$2:$E$162,5,FALSE())/1000*IF(OR(H14="",H14=0),E14,H14)/1000*F14,0),""))</f>
        <v/>
      </c>
      <c r="N14" s="1" t="str">
        <f aca="false">IFERROR(VLOOKUP(C14,規格資料庫!$A$2:$B$162,2,FALSE()),"")</f>
        <v/>
      </c>
    </row>
    <row r="15" customFormat="false" ht="15" hidden="false" customHeight="true" outlineLevel="0" collapsed="false">
      <c r="A15" s="26"/>
      <c r="B15" s="21"/>
      <c r="C15" s="26"/>
      <c r="D15" s="26"/>
      <c r="E15" s="21"/>
      <c r="F15" s="21"/>
      <c r="G15" s="26"/>
      <c r="H15" s="21"/>
      <c r="I15" s="26"/>
      <c r="J15" s="22" t="str">
        <f aca="false">IFERROR(VLOOKUP(C15,規格資料庫!$A$2:$E$162,3,FALSE()),"")</f>
        <v/>
      </c>
      <c r="K15" s="23" t="str">
        <f aca="false">IFERROR(VLOOKUP(C15,規格資料庫!$A$2:$E$162,4,FALSE()),"")</f>
        <v/>
      </c>
      <c r="L15" s="24" t="str">
        <f aca="false">IF(J15="","",J15*E15/1000*F15)</f>
        <v/>
      </c>
      <c r="M15" s="25" t="str">
        <f aca="false">IF(OR(C15="",G15="",G15="無"),"",IFERROR(K15*IF(OR(H15="",H15=0),E15,H15)/1000*F15-IF(I15="是",VLOOKUP(C15,規格資料庫!$A$2:$E$162,5,FALSE())/1000*IF(OR(H15="",H15=0),E15,H15)/1000*F15,0),""))</f>
        <v/>
      </c>
      <c r="N15" s="1" t="str">
        <f aca="false">IFERROR(VLOOKUP(C15,規格資料庫!$A$2:$B$162,2,FALSE()),"")</f>
        <v/>
      </c>
    </row>
    <row r="16" customFormat="false" ht="15" hidden="false" customHeight="true" outlineLevel="0" collapsed="false">
      <c r="A16" s="26"/>
      <c r="B16" s="21"/>
      <c r="C16" s="26"/>
      <c r="D16" s="26"/>
      <c r="E16" s="21"/>
      <c r="F16" s="21"/>
      <c r="G16" s="26"/>
      <c r="H16" s="21"/>
      <c r="I16" s="26"/>
      <c r="J16" s="22" t="str">
        <f aca="false">IFERROR(VLOOKUP(C16,規格資料庫!$A$2:$E$162,3,FALSE()),"")</f>
        <v/>
      </c>
      <c r="K16" s="23" t="str">
        <f aca="false">IFERROR(VLOOKUP(C16,規格資料庫!$A$2:$E$162,4,FALSE()),"")</f>
        <v/>
      </c>
      <c r="L16" s="24" t="str">
        <f aca="false">IF(J16="","",J16*E16/1000*F16)</f>
        <v/>
      </c>
      <c r="M16" s="25" t="str">
        <f aca="false">IF(OR(C16="",G16="",G16="無"),"",IFERROR(K16*IF(OR(H16="",H16=0),E16,H16)/1000*F16-IF(I16="是",VLOOKUP(C16,規格資料庫!$A$2:$E$162,5,FALSE())/1000*IF(OR(H16="",H16=0),E16,H16)/1000*F16,0),""))</f>
        <v/>
      </c>
      <c r="N16" s="1" t="str">
        <f aca="false">IFERROR(VLOOKUP(C16,規格資料庫!$A$2:$B$162,2,FALSE()),"")</f>
        <v/>
      </c>
    </row>
    <row r="17" customFormat="false" ht="15" hidden="false" customHeight="true" outlineLevel="0" collapsed="false">
      <c r="A17" s="26"/>
      <c r="B17" s="21"/>
      <c r="C17" s="26"/>
      <c r="D17" s="26"/>
      <c r="E17" s="21"/>
      <c r="F17" s="21"/>
      <c r="G17" s="26"/>
      <c r="H17" s="21"/>
      <c r="I17" s="26"/>
      <c r="J17" s="22" t="str">
        <f aca="false">IFERROR(VLOOKUP(C17,規格資料庫!$A$2:$E$162,3,FALSE()),"")</f>
        <v/>
      </c>
      <c r="K17" s="23" t="str">
        <f aca="false">IFERROR(VLOOKUP(C17,規格資料庫!$A$2:$E$162,4,FALSE()),"")</f>
        <v/>
      </c>
      <c r="L17" s="24" t="str">
        <f aca="false">IF(J17="","",J17*E17/1000*F17)</f>
        <v/>
      </c>
      <c r="M17" s="25" t="str">
        <f aca="false">IF(OR(C17="",G17="",G17="無"),"",IFERROR(K17*IF(OR(H17="",H17=0),E17,H17)/1000*F17-IF(I17="是",VLOOKUP(C17,規格資料庫!$A$2:$E$162,5,FALSE())/1000*IF(OR(H17="",H17=0),E17,H17)/1000*F17,0),""))</f>
        <v/>
      </c>
      <c r="N17" s="1" t="str">
        <f aca="false">IFERROR(VLOOKUP(C17,規格資料庫!$A$2:$B$162,2,FALSE()),"")</f>
        <v/>
      </c>
    </row>
    <row r="18" customFormat="false" ht="15" hidden="false" customHeight="true" outlineLevel="0" collapsed="false">
      <c r="A18" s="26"/>
      <c r="B18" s="21"/>
      <c r="C18" s="26"/>
      <c r="D18" s="26"/>
      <c r="E18" s="21"/>
      <c r="F18" s="21"/>
      <c r="G18" s="26"/>
      <c r="H18" s="21"/>
      <c r="I18" s="26"/>
      <c r="J18" s="22" t="str">
        <f aca="false">IFERROR(VLOOKUP(C18,規格資料庫!$A$2:$E$162,3,FALSE()),"")</f>
        <v/>
      </c>
      <c r="K18" s="23" t="str">
        <f aca="false">IFERROR(VLOOKUP(C18,規格資料庫!$A$2:$E$162,4,FALSE()),"")</f>
        <v/>
      </c>
      <c r="L18" s="24" t="str">
        <f aca="false">IF(J18="","",J18*E18/1000*F18)</f>
        <v/>
      </c>
      <c r="M18" s="25" t="str">
        <f aca="false">IF(OR(C18="",G18="",G18="無"),"",IFERROR(K18*IF(OR(H18="",H18=0),E18,H18)/1000*F18-IF(I18="是",VLOOKUP(C18,規格資料庫!$A$2:$E$162,5,FALSE())/1000*IF(OR(H18="",H18=0),E18,H18)/1000*F18,0),""))</f>
        <v/>
      </c>
      <c r="N18" s="1" t="str">
        <f aca="false">IFERROR(VLOOKUP(C18,規格資料庫!$A$2:$B$162,2,FALSE()),"")</f>
        <v/>
      </c>
    </row>
    <row r="19" customFormat="false" ht="15" hidden="false" customHeight="true" outlineLevel="0" collapsed="false">
      <c r="A19" s="26"/>
      <c r="B19" s="21"/>
      <c r="C19" s="26"/>
      <c r="D19" s="26"/>
      <c r="E19" s="21"/>
      <c r="F19" s="21"/>
      <c r="G19" s="26"/>
      <c r="H19" s="21"/>
      <c r="I19" s="26"/>
      <c r="J19" s="22" t="str">
        <f aca="false">IFERROR(VLOOKUP(C19,規格資料庫!$A$2:$E$162,3,FALSE()),"")</f>
        <v/>
      </c>
      <c r="K19" s="23" t="str">
        <f aca="false">IFERROR(VLOOKUP(C19,規格資料庫!$A$2:$E$162,4,FALSE()),"")</f>
        <v/>
      </c>
      <c r="L19" s="24" t="str">
        <f aca="false">IF(J19="","",J19*E19/1000*F19)</f>
        <v/>
      </c>
      <c r="M19" s="25" t="str">
        <f aca="false">IF(OR(C19="",G19="",G19="無"),"",IFERROR(K19*IF(OR(H19="",H19=0),E19,H19)/1000*F19-IF(I19="是",VLOOKUP(C19,規格資料庫!$A$2:$E$162,5,FALSE())/1000*IF(OR(H19="",H19=0),E19,H19)/1000*F19,0),""))</f>
        <v/>
      </c>
      <c r="N19" s="1" t="str">
        <f aca="false">IFERROR(VLOOKUP(C19,規格資料庫!$A$2:$B$162,2,FALSE()),"")</f>
        <v/>
      </c>
    </row>
    <row r="20" customFormat="false" ht="15" hidden="false" customHeight="true" outlineLevel="0" collapsed="false">
      <c r="A20" s="26"/>
      <c r="B20" s="21"/>
      <c r="C20" s="26"/>
      <c r="D20" s="26"/>
      <c r="E20" s="21"/>
      <c r="F20" s="21"/>
      <c r="G20" s="26"/>
      <c r="H20" s="21"/>
      <c r="I20" s="26"/>
      <c r="J20" s="22" t="str">
        <f aca="false">IFERROR(VLOOKUP(C20,規格資料庫!$A$2:$E$162,3,FALSE()),"")</f>
        <v/>
      </c>
      <c r="K20" s="23" t="str">
        <f aca="false">IFERROR(VLOOKUP(C20,規格資料庫!$A$2:$E$162,4,FALSE()),"")</f>
        <v/>
      </c>
      <c r="L20" s="24" t="str">
        <f aca="false">IF(J20="","",J20*E20/1000*F20)</f>
        <v/>
      </c>
      <c r="M20" s="25" t="str">
        <f aca="false">IF(OR(C20="",G20="",G20="無"),"",IFERROR(K20*IF(OR(H20="",H20=0),E20,H20)/1000*F20-IF(I20="是",VLOOKUP(C20,規格資料庫!$A$2:$E$162,5,FALSE())/1000*IF(OR(H20="",H20=0),E20,H20)/1000*F20,0),""))</f>
        <v/>
      </c>
      <c r="N20" s="1" t="str">
        <f aca="false">IFERROR(VLOOKUP(C20,規格資料庫!$A$2:$B$162,2,FALSE()),"")</f>
        <v/>
      </c>
    </row>
    <row r="21" customFormat="false" ht="15" hidden="false" customHeight="true" outlineLevel="0" collapsed="false">
      <c r="A21" s="26"/>
      <c r="B21" s="21"/>
      <c r="C21" s="26"/>
      <c r="D21" s="26"/>
      <c r="E21" s="21"/>
      <c r="F21" s="21"/>
      <c r="G21" s="26"/>
      <c r="H21" s="21"/>
      <c r="I21" s="26"/>
      <c r="J21" s="22" t="str">
        <f aca="false">IFERROR(VLOOKUP(C21,規格資料庫!$A$2:$E$162,3,FALSE()),"")</f>
        <v/>
      </c>
      <c r="K21" s="23" t="str">
        <f aca="false">IFERROR(VLOOKUP(C21,規格資料庫!$A$2:$E$162,4,FALSE()),"")</f>
        <v/>
      </c>
      <c r="L21" s="24" t="str">
        <f aca="false">IF(J21="","",J21*E21/1000*F21)</f>
        <v/>
      </c>
      <c r="M21" s="25" t="str">
        <f aca="false">IF(OR(C21="",G21="",G21="無"),"",IFERROR(K21*IF(OR(H21="",H21=0),E21,H21)/1000*F21-IF(I21="是",VLOOKUP(C21,規格資料庫!$A$2:$E$162,5,FALSE())/1000*IF(OR(H21="",H21=0),E21,H21)/1000*F21,0),""))</f>
        <v/>
      </c>
      <c r="N21" s="1" t="str">
        <f aca="false">IFERROR(VLOOKUP(C21,規格資料庫!$A$2:$B$162,2,FALSE()),"")</f>
        <v/>
      </c>
    </row>
    <row r="22" customFormat="false" ht="15" hidden="false" customHeight="true" outlineLevel="0" collapsed="false">
      <c r="A22" s="26"/>
      <c r="B22" s="21"/>
      <c r="C22" s="26"/>
      <c r="D22" s="26"/>
      <c r="E22" s="21"/>
      <c r="F22" s="21"/>
      <c r="G22" s="26"/>
      <c r="H22" s="21"/>
      <c r="I22" s="26"/>
      <c r="J22" s="22" t="str">
        <f aca="false">IFERROR(VLOOKUP(C22,規格資料庫!$A$2:$E$162,3,FALSE()),"")</f>
        <v/>
      </c>
      <c r="K22" s="23" t="str">
        <f aca="false">IFERROR(VLOOKUP(C22,規格資料庫!$A$2:$E$162,4,FALSE()),"")</f>
        <v/>
      </c>
      <c r="L22" s="24" t="str">
        <f aca="false">IF(J22="","",J22*E22/1000*F22)</f>
        <v/>
      </c>
      <c r="M22" s="25" t="str">
        <f aca="false">IF(OR(C22="",G22="",G22="無"),"",IFERROR(K22*IF(OR(H22="",H22=0),E22,H22)/1000*F22-IF(I22="是",VLOOKUP(C22,規格資料庫!$A$2:$E$162,5,FALSE())/1000*IF(OR(H22="",H22=0),E22,H22)/1000*F22,0),""))</f>
        <v/>
      </c>
      <c r="N22" s="1" t="str">
        <f aca="false">IFERROR(VLOOKUP(C22,規格資料庫!$A$2:$B$162,2,FALSE()),"")</f>
        <v/>
      </c>
    </row>
    <row r="23" customFormat="false" ht="15" hidden="false" customHeight="true" outlineLevel="0" collapsed="false">
      <c r="A23" s="26"/>
      <c r="B23" s="21"/>
      <c r="C23" s="26"/>
      <c r="D23" s="26"/>
      <c r="E23" s="21"/>
      <c r="F23" s="21"/>
      <c r="G23" s="26"/>
      <c r="H23" s="21"/>
      <c r="I23" s="26"/>
      <c r="J23" s="22" t="str">
        <f aca="false">IFERROR(VLOOKUP(C23,規格資料庫!$A$2:$E$162,3,FALSE()),"")</f>
        <v/>
      </c>
      <c r="K23" s="23" t="str">
        <f aca="false">IFERROR(VLOOKUP(C23,規格資料庫!$A$2:$E$162,4,FALSE()),"")</f>
        <v/>
      </c>
      <c r="L23" s="24" t="str">
        <f aca="false">IF(J23="","",J23*E23/1000*F23)</f>
        <v/>
      </c>
      <c r="M23" s="25" t="str">
        <f aca="false">IF(OR(C23="",G23="",G23="無"),"",IFERROR(K23*IF(OR(H23="",H23=0),E23,H23)/1000*F23-IF(I23="是",VLOOKUP(C23,規格資料庫!$A$2:$E$162,5,FALSE())/1000*IF(OR(H23="",H23=0),E23,H23)/1000*F23,0),""))</f>
        <v/>
      </c>
      <c r="N23" s="1" t="str">
        <f aca="false">IFERROR(VLOOKUP(C23,規格資料庫!$A$2:$B$162,2,FALSE()),"")</f>
        <v/>
      </c>
    </row>
    <row r="24" customFormat="false" ht="15" hidden="false" customHeight="true" outlineLevel="0" collapsed="false">
      <c r="A24" s="26"/>
      <c r="B24" s="21"/>
      <c r="C24" s="26"/>
      <c r="D24" s="26"/>
      <c r="E24" s="21"/>
      <c r="F24" s="21"/>
      <c r="G24" s="26"/>
      <c r="H24" s="21"/>
      <c r="I24" s="26"/>
      <c r="J24" s="22" t="str">
        <f aca="false">IFERROR(VLOOKUP(C24,規格資料庫!$A$2:$E$162,3,FALSE()),"")</f>
        <v/>
      </c>
      <c r="K24" s="23" t="str">
        <f aca="false">IFERROR(VLOOKUP(C24,規格資料庫!$A$2:$E$162,4,FALSE()),"")</f>
        <v/>
      </c>
      <c r="L24" s="24" t="str">
        <f aca="false">IF(J24="","",J24*E24/1000*F24)</f>
        <v/>
      </c>
      <c r="M24" s="25" t="str">
        <f aca="false">IF(OR(C24="",G24="",G24="無"),"",IFERROR(K24*IF(OR(H24="",H24=0),E24,H24)/1000*F24-IF(I24="是",VLOOKUP(C24,規格資料庫!$A$2:$E$162,5,FALSE())/1000*IF(OR(H24="",H24=0),E24,H24)/1000*F24,0),""))</f>
        <v/>
      </c>
      <c r="N24" s="1" t="str">
        <f aca="false">IFERROR(VLOOKUP(C24,規格資料庫!$A$2:$B$162,2,FALSE()),"")</f>
        <v/>
      </c>
    </row>
    <row r="25" customFormat="false" ht="15" hidden="false" customHeight="true" outlineLevel="0" collapsed="false">
      <c r="A25" s="27" t="s">
        <v>65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8" t="n">
        <f aca="false">SUM(L5:L24)</f>
        <v>7128.5</v>
      </c>
      <c r="M25" s="29" t="n">
        <f aca="false">SUM(M5:M24)</f>
        <v>95.13</v>
      </c>
      <c r="O25" s="30" t="n">
        <f aca="false">SUMIF(G5:G24,"油漆",M5:M24)</f>
        <v>56.73</v>
      </c>
      <c r="P25" s="30" t="n">
        <f aca="false">SUMIF(G5:G24,"防火漆1hr",M5:M24)</f>
        <v>0</v>
      </c>
      <c r="Q25" s="30" t="n">
        <f aca="false">SUMIF(G5:G24,"防火漆2hr",M5:M24)</f>
        <v>38.4</v>
      </c>
      <c r="R25" s="30" t="n">
        <f aca="false">SUMIF(G5:G24,"防火批覆",M5:M24)</f>
        <v>0</v>
      </c>
      <c r="S25" s="31" t="n">
        <f aca="false">SUMPRODUCT((D5:D24="SN400B")*IF(ISNUMBER(L5:L24),L5:L24,0))</f>
        <v>6979.5</v>
      </c>
      <c r="T25" s="31" t="n">
        <f aca="false">SUMPRODUCT((D5:D24="A36")*IF(ISNUMBER(L5:L24),L5:L24,0))</f>
        <v>149</v>
      </c>
      <c r="U25" s="31" t="n">
        <f aca="false">SUMPRODUCT((D5:D24="SN490B")*IF(ISNUMBER(L5:L24),L5:L24,0))</f>
        <v>0</v>
      </c>
      <c r="V25" s="31" t="n">
        <f aca="false">SUMPRODUCT((D5:D24="A572 Gr.50")*IF(ISNUMBER(L5:L24),L5:L24,0))</f>
        <v>0</v>
      </c>
      <c r="W25" s="31" t="n">
        <f aca="false">SUMPRODUCT((N5:N24="GR")*IF(ISNUMBER(L5:L24),L5:L24,0))</f>
        <v>0</v>
      </c>
      <c r="X25" s="31" t="n">
        <f aca="false">SUMPRODUCT((N5:N24="CP")*IF(ISNUMBER(L5:L24),L5:L24,0))</f>
        <v>0</v>
      </c>
    </row>
    <row r="27" customFormat="false" ht="18.75" hidden="false" customHeight="true" outlineLevel="0" collapsed="false">
      <c r="A27" s="7" t="s">
        <v>66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customFormat="false" ht="43.5" hidden="false" customHeight="true" outlineLevel="0" collapsed="false">
      <c r="A28" s="12" t="s">
        <v>36</v>
      </c>
      <c r="B28" s="12" t="s">
        <v>37</v>
      </c>
      <c r="C28" s="12" t="s">
        <v>38</v>
      </c>
      <c r="D28" s="12" t="s">
        <v>39</v>
      </c>
      <c r="E28" s="12" t="s">
        <v>40</v>
      </c>
      <c r="F28" s="12" t="s">
        <v>41</v>
      </c>
      <c r="G28" s="12" t="s">
        <v>42</v>
      </c>
      <c r="H28" s="12" t="s">
        <v>43</v>
      </c>
      <c r="I28" s="12" t="s">
        <v>44</v>
      </c>
      <c r="J28" s="12" t="s">
        <v>45</v>
      </c>
      <c r="K28" s="12" t="s">
        <v>46</v>
      </c>
      <c r="L28" s="12" t="s">
        <v>47</v>
      </c>
      <c r="M28" s="12" t="s">
        <v>48</v>
      </c>
    </row>
    <row r="29" customFormat="false" ht="15" hidden="false" customHeight="true" outlineLevel="0" collapsed="false">
      <c r="A29" s="18" t="s">
        <v>49</v>
      </c>
      <c r="B29" s="19" t="s">
        <v>67</v>
      </c>
      <c r="C29" s="18" t="s">
        <v>68</v>
      </c>
      <c r="D29" s="18" t="s">
        <v>24</v>
      </c>
      <c r="E29" s="19" t="n">
        <v>7500</v>
      </c>
      <c r="F29" s="19" t="n">
        <v>2</v>
      </c>
      <c r="G29" s="20" t="s">
        <v>52</v>
      </c>
      <c r="H29" s="21"/>
      <c r="I29" s="20" t="s">
        <v>53</v>
      </c>
      <c r="J29" s="22" t="n">
        <f aca="false">IFERROR(VLOOKUP(C29,規格資料庫!$A$2:$E$162,3,FALSE()),"")</f>
        <v>125</v>
      </c>
      <c r="K29" s="23" t="n">
        <f aca="false">IFERROR(VLOOKUP(C29,規格資料庫!$A$2:$E$162,4,FALSE()),"")</f>
        <v>2.154</v>
      </c>
      <c r="L29" s="24" t="n">
        <f aca="false">IF(J29="","",J29*E29/1000*F29)</f>
        <v>1875</v>
      </c>
      <c r="M29" s="25" t="n">
        <f aca="false">IF(OR(C29="",G29="",G29="無"),"",IFERROR(K29*IF(OR(H29="",H29=0),E29,H29)/1000*F29-IF(I29="是",VLOOKUP(C29,規格資料庫!$A$2:$E$162,5,FALSE())/1000*IF(OR(H29="",H29=0),E29,H29)/1000*F29,0),""))</f>
        <v>32.31</v>
      </c>
      <c r="N29" s="1" t="str">
        <f aca="false">IFERROR(VLOOKUP(C29,規格資料庫!$A$2:$B$162,2,FALSE()),"")</f>
        <v>H</v>
      </c>
    </row>
    <row r="30" customFormat="false" ht="15" hidden="false" customHeight="true" outlineLevel="0" collapsed="false">
      <c r="A30" s="18" t="s">
        <v>49</v>
      </c>
      <c r="B30" s="19" t="s">
        <v>69</v>
      </c>
      <c r="C30" s="18" t="s">
        <v>70</v>
      </c>
      <c r="D30" s="18" t="s">
        <v>24</v>
      </c>
      <c r="E30" s="19" t="n">
        <v>2500</v>
      </c>
      <c r="F30" s="19" t="n">
        <v>4</v>
      </c>
      <c r="G30" s="20" t="s">
        <v>52</v>
      </c>
      <c r="H30" s="21"/>
      <c r="I30" s="20" t="s">
        <v>53</v>
      </c>
      <c r="J30" s="22" t="n">
        <f aca="false">IFERROR(VLOOKUP(C30,規格資料庫!$A$2:$E$162,3,FALSE()),"")</f>
        <v>49.6</v>
      </c>
      <c r="K30" s="23" t="n">
        <f aca="false">IFERROR(VLOOKUP(C30,規格資料庫!$A$2:$E$162,4,FALSE()),"")</f>
        <v>1.366</v>
      </c>
      <c r="L30" s="24" t="n">
        <f aca="false">IF(J30="","",J30*E30/1000*F30)</f>
        <v>496</v>
      </c>
      <c r="M30" s="25" t="n">
        <f aca="false">IF(OR(C30="",G30="",G30="無"),"",IFERROR(K30*IF(OR(H30="",H30=0),E30,H30)/1000*F30-IF(I30="是",VLOOKUP(C30,規格資料庫!$A$2:$E$162,5,FALSE())/1000*IF(OR(H30="",H30=0),E30,H30)/1000*F30,0),""))</f>
        <v>13.66</v>
      </c>
      <c r="N30" s="1" t="str">
        <f aca="false">IFERROR(VLOOKUP(C30,規格資料庫!$A$2:$B$162,2,FALSE()),"")</f>
        <v>H</v>
      </c>
    </row>
    <row r="31" customFormat="false" ht="15" hidden="false" customHeight="true" outlineLevel="0" collapsed="false">
      <c r="A31" s="18" t="s">
        <v>58</v>
      </c>
      <c r="B31" s="19" t="s">
        <v>59</v>
      </c>
      <c r="C31" s="18" t="s">
        <v>71</v>
      </c>
      <c r="D31" s="18" t="s">
        <v>24</v>
      </c>
      <c r="E31" s="19" t="n">
        <v>12000</v>
      </c>
      <c r="F31" s="19" t="n">
        <v>4</v>
      </c>
      <c r="G31" s="20" t="s">
        <v>61</v>
      </c>
      <c r="H31" s="19" t="n">
        <v>6000</v>
      </c>
      <c r="I31" s="20" t="s">
        <v>53</v>
      </c>
      <c r="J31" s="22" t="n">
        <f aca="false">IFERROR(VLOOKUP(C31,規格資料庫!$A$2:$E$162,3,FALSE()),"")</f>
        <v>267</v>
      </c>
      <c r="K31" s="23" t="n">
        <f aca="false">IFERROR(VLOOKUP(C31,規格資料庫!$A$2:$E$162,4,FALSE()),"")</f>
        <v>2</v>
      </c>
      <c r="L31" s="24" t="n">
        <f aca="false">IF(J31="","",J31*E31/1000*F31)</f>
        <v>12816</v>
      </c>
      <c r="M31" s="25" t="n">
        <f aca="false">IF(OR(C31="",G31="",G31="無"),"",IFERROR(K31*IF(OR(H31="",H31=0),E31,H31)/1000*F31-IF(I31="是",VLOOKUP(C31,規格資料庫!$A$2:$E$162,5,FALSE())/1000*IF(OR(H31="",H31=0),E31,H31)/1000*F31,0),""))</f>
        <v>48</v>
      </c>
      <c r="N31" s="1" t="str">
        <f aca="false">IFERROR(VLOOKUP(C31,規格資料庫!$A$2:$B$162,2,FALSE()),"")</f>
        <v>BOX</v>
      </c>
    </row>
    <row r="32" customFormat="false" ht="15" hidden="false" customHeight="true" outlineLevel="0" collapsed="false">
      <c r="A32" s="18" t="s">
        <v>49</v>
      </c>
      <c r="B32" s="19" t="s">
        <v>56</v>
      </c>
      <c r="C32" s="18" t="s">
        <v>57</v>
      </c>
      <c r="D32" s="18" t="s">
        <v>24</v>
      </c>
      <c r="E32" s="19" t="n">
        <v>2500</v>
      </c>
      <c r="F32" s="19" t="n">
        <v>4</v>
      </c>
      <c r="G32" s="20" t="s">
        <v>52</v>
      </c>
      <c r="H32" s="21"/>
      <c r="I32" s="20" t="s">
        <v>53</v>
      </c>
      <c r="J32" s="22" t="n">
        <f aca="false">IFERROR(VLOOKUP(C32,規格資料庫!$A$2:$E$162,3,FALSE()),"")</f>
        <v>29.9</v>
      </c>
      <c r="K32" s="23" t="n">
        <f aca="false">IFERROR(VLOOKUP(C32,規格資料庫!$A$2:$E$162,4,FALSE()),"")</f>
        <v>0.976</v>
      </c>
      <c r="L32" s="24" t="n">
        <f aca="false">IF(J32="","",J32*E32/1000*F32)</f>
        <v>299</v>
      </c>
      <c r="M32" s="25" t="n">
        <f aca="false">IF(OR(C32="",G32="",G32="無"),"",IFERROR(K32*IF(OR(H32="",H32=0),E32,H32)/1000*F32-IF(I32="是",VLOOKUP(C32,規格資料庫!$A$2:$E$162,5,FALSE())/1000*IF(OR(H32="",H32=0),E32,H32)/1000*F32,0),""))</f>
        <v>9.76</v>
      </c>
      <c r="N32" s="1" t="str">
        <f aca="false">IFERROR(VLOOKUP(C32,規格資料庫!$A$2:$B$162,2,FALSE()),"")</f>
        <v>H</v>
      </c>
    </row>
    <row r="33" customFormat="false" ht="15" hidden="false" customHeight="true" outlineLevel="0" collapsed="false">
      <c r="A33" s="26"/>
      <c r="B33" s="21"/>
      <c r="C33" s="26"/>
      <c r="D33" s="26"/>
      <c r="E33" s="21"/>
      <c r="F33" s="21"/>
      <c r="G33" s="26"/>
      <c r="H33" s="21"/>
      <c r="I33" s="26"/>
      <c r="J33" s="22" t="str">
        <f aca="false">IFERROR(VLOOKUP(C33,規格資料庫!$A$2:$E$162,3,FALSE()),"")</f>
        <v/>
      </c>
      <c r="K33" s="23" t="str">
        <f aca="false">IFERROR(VLOOKUP(C33,規格資料庫!$A$2:$E$162,4,FALSE()),"")</f>
        <v/>
      </c>
      <c r="L33" s="24" t="str">
        <f aca="false">IF(J33="","",J33*E33/1000*F33)</f>
        <v/>
      </c>
      <c r="M33" s="25" t="str">
        <f aca="false">IF(OR(C33="",G33="",G33="無"),"",IFERROR(K33*IF(OR(H33="",H33=0),E33,H33)/1000*F33-IF(I33="是",VLOOKUP(C33,規格資料庫!$A$2:$E$162,5,FALSE())/1000*IF(OR(H33="",H33=0),E33,H33)/1000*F33,0),""))</f>
        <v/>
      </c>
      <c r="N33" s="1" t="str">
        <f aca="false">IFERROR(VLOOKUP(C33,規格資料庫!$A$2:$B$162,2,FALSE()),"")</f>
        <v/>
      </c>
    </row>
    <row r="34" customFormat="false" ht="15" hidden="false" customHeight="true" outlineLevel="0" collapsed="false">
      <c r="A34" s="26"/>
      <c r="B34" s="21"/>
      <c r="C34" s="26"/>
      <c r="D34" s="26"/>
      <c r="E34" s="21"/>
      <c r="F34" s="21"/>
      <c r="G34" s="26"/>
      <c r="H34" s="21"/>
      <c r="I34" s="26"/>
      <c r="J34" s="22" t="str">
        <f aca="false">IFERROR(VLOOKUP(C34,規格資料庫!$A$2:$E$162,3,FALSE()),"")</f>
        <v/>
      </c>
      <c r="K34" s="23" t="str">
        <f aca="false">IFERROR(VLOOKUP(C34,規格資料庫!$A$2:$E$162,4,FALSE()),"")</f>
        <v/>
      </c>
      <c r="L34" s="24" t="str">
        <f aca="false">IF(J34="","",J34*E34/1000*F34)</f>
        <v/>
      </c>
      <c r="M34" s="25" t="str">
        <f aca="false">IF(OR(C34="",G34="",G34="無"),"",IFERROR(K34*IF(OR(H34="",H34=0),E34,H34)/1000*F34-IF(I34="是",VLOOKUP(C34,規格資料庫!$A$2:$E$162,5,FALSE())/1000*IF(OR(H34="",H34=0),E34,H34)/1000*F34,0),""))</f>
        <v/>
      </c>
      <c r="N34" s="1" t="str">
        <f aca="false">IFERROR(VLOOKUP(C34,規格資料庫!$A$2:$B$162,2,FALSE()),"")</f>
        <v/>
      </c>
    </row>
    <row r="35" customFormat="false" ht="15" hidden="false" customHeight="true" outlineLevel="0" collapsed="false">
      <c r="A35" s="26"/>
      <c r="B35" s="21"/>
      <c r="C35" s="26"/>
      <c r="D35" s="26"/>
      <c r="E35" s="21"/>
      <c r="F35" s="21"/>
      <c r="G35" s="26"/>
      <c r="H35" s="21"/>
      <c r="I35" s="26"/>
      <c r="J35" s="22" t="str">
        <f aca="false">IFERROR(VLOOKUP(C35,規格資料庫!$A$2:$E$162,3,FALSE()),"")</f>
        <v/>
      </c>
      <c r="K35" s="23" t="str">
        <f aca="false">IFERROR(VLOOKUP(C35,規格資料庫!$A$2:$E$162,4,FALSE()),"")</f>
        <v/>
      </c>
      <c r="L35" s="24" t="str">
        <f aca="false">IF(J35="","",J35*E35/1000*F35)</f>
        <v/>
      </c>
      <c r="M35" s="25" t="str">
        <f aca="false">IF(OR(C35="",G35="",G35="無"),"",IFERROR(K35*IF(OR(H35="",H35=0),E35,H35)/1000*F35-IF(I35="是",VLOOKUP(C35,規格資料庫!$A$2:$E$162,5,FALSE())/1000*IF(OR(H35="",H35=0),E35,H35)/1000*F35,0),""))</f>
        <v/>
      </c>
      <c r="N35" s="1" t="str">
        <f aca="false">IFERROR(VLOOKUP(C35,規格資料庫!$A$2:$B$162,2,FALSE()),"")</f>
        <v/>
      </c>
    </row>
    <row r="36" customFormat="false" ht="15" hidden="false" customHeight="true" outlineLevel="0" collapsed="false">
      <c r="A36" s="26"/>
      <c r="B36" s="21"/>
      <c r="C36" s="26"/>
      <c r="D36" s="26"/>
      <c r="E36" s="21"/>
      <c r="F36" s="21"/>
      <c r="G36" s="26"/>
      <c r="H36" s="21"/>
      <c r="I36" s="26"/>
      <c r="J36" s="22" t="str">
        <f aca="false">IFERROR(VLOOKUP(C36,規格資料庫!$A$2:$E$162,3,FALSE()),"")</f>
        <v/>
      </c>
      <c r="K36" s="23" t="str">
        <f aca="false">IFERROR(VLOOKUP(C36,規格資料庫!$A$2:$E$162,4,FALSE()),"")</f>
        <v/>
      </c>
      <c r="L36" s="24" t="str">
        <f aca="false">IF(J36="","",J36*E36/1000*F36)</f>
        <v/>
      </c>
      <c r="M36" s="25" t="str">
        <f aca="false">IF(OR(C36="",G36="",G36="無"),"",IFERROR(K36*IF(OR(H36="",H36=0),E36,H36)/1000*F36-IF(I36="是",VLOOKUP(C36,規格資料庫!$A$2:$E$162,5,FALSE())/1000*IF(OR(H36="",H36=0),E36,H36)/1000*F36,0),""))</f>
        <v/>
      </c>
      <c r="N36" s="1" t="str">
        <f aca="false">IFERROR(VLOOKUP(C36,規格資料庫!$A$2:$B$162,2,FALSE()),"")</f>
        <v/>
      </c>
    </row>
    <row r="37" customFormat="false" ht="15" hidden="false" customHeight="true" outlineLevel="0" collapsed="false">
      <c r="A37" s="26"/>
      <c r="B37" s="21"/>
      <c r="C37" s="26"/>
      <c r="D37" s="26"/>
      <c r="E37" s="21"/>
      <c r="F37" s="21"/>
      <c r="G37" s="26"/>
      <c r="H37" s="21"/>
      <c r="I37" s="26"/>
      <c r="J37" s="22" t="str">
        <f aca="false">IFERROR(VLOOKUP(C37,規格資料庫!$A$2:$E$162,3,FALSE()),"")</f>
        <v/>
      </c>
      <c r="K37" s="23" t="str">
        <f aca="false">IFERROR(VLOOKUP(C37,規格資料庫!$A$2:$E$162,4,FALSE()),"")</f>
        <v/>
      </c>
      <c r="L37" s="24" t="str">
        <f aca="false">IF(J37="","",J37*E37/1000*F37)</f>
        <v/>
      </c>
      <c r="M37" s="25" t="str">
        <f aca="false">IF(OR(C37="",G37="",G37="無"),"",IFERROR(K37*IF(OR(H37="",H37=0),E37,H37)/1000*F37-IF(I37="是",VLOOKUP(C37,規格資料庫!$A$2:$E$162,5,FALSE())/1000*IF(OR(H37="",H37=0),E37,H37)/1000*F37,0),""))</f>
        <v/>
      </c>
      <c r="N37" s="1" t="str">
        <f aca="false">IFERROR(VLOOKUP(C37,規格資料庫!$A$2:$B$162,2,FALSE()),"")</f>
        <v/>
      </c>
    </row>
    <row r="38" customFormat="false" ht="15" hidden="false" customHeight="true" outlineLevel="0" collapsed="false">
      <c r="A38" s="26"/>
      <c r="B38" s="21"/>
      <c r="C38" s="26"/>
      <c r="D38" s="26"/>
      <c r="E38" s="21"/>
      <c r="F38" s="21"/>
      <c r="G38" s="26"/>
      <c r="H38" s="21"/>
      <c r="I38" s="26"/>
      <c r="J38" s="22" t="str">
        <f aca="false">IFERROR(VLOOKUP(C38,規格資料庫!$A$2:$E$162,3,FALSE()),"")</f>
        <v/>
      </c>
      <c r="K38" s="23" t="str">
        <f aca="false">IFERROR(VLOOKUP(C38,規格資料庫!$A$2:$E$162,4,FALSE()),"")</f>
        <v/>
      </c>
      <c r="L38" s="24" t="str">
        <f aca="false">IF(J38="","",J38*E38/1000*F38)</f>
        <v/>
      </c>
      <c r="M38" s="25" t="str">
        <f aca="false">IF(OR(C38="",G38="",G38="無"),"",IFERROR(K38*IF(OR(H38="",H38=0),E38,H38)/1000*F38-IF(I38="是",VLOOKUP(C38,規格資料庫!$A$2:$E$162,5,FALSE())/1000*IF(OR(H38="",H38=0),E38,H38)/1000*F38,0),""))</f>
        <v/>
      </c>
      <c r="N38" s="1" t="str">
        <f aca="false">IFERROR(VLOOKUP(C38,規格資料庫!$A$2:$B$162,2,FALSE()),"")</f>
        <v/>
      </c>
    </row>
    <row r="39" customFormat="false" ht="15" hidden="false" customHeight="true" outlineLevel="0" collapsed="false">
      <c r="A39" s="26"/>
      <c r="B39" s="21"/>
      <c r="C39" s="26"/>
      <c r="D39" s="26"/>
      <c r="E39" s="21"/>
      <c r="F39" s="21"/>
      <c r="G39" s="26"/>
      <c r="H39" s="21"/>
      <c r="I39" s="26"/>
      <c r="J39" s="22" t="str">
        <f aca="false">IFERROR(VLOOKUP(C39,規格資料庫!$A$2:$E$162,3,FALSE()),"")</f>
        <v/>
      </c>
      <c r="K39" s="23" t="str">
        <f aca="false">IFERROR(VLOOKUP(C39,規格資料庫!$A$2:$E$162,4,FALSE()),"")</f>
        <v/>
      </c>
      <c r="L39" s="24" t="str">
        <f aca="false">IF(J39="","",J39*E39/1000*F39)</f>
        <v/>
      </c>
      <c r="M39" s="25" t="str">
        <f aca="false">IF(OR(C39="",G39="",G39="無"),"",IFERROR(K39*IF(OR(H39="",H39=0),E39,H39)/1000*F39-IF(I39="是",VLOOKUP(C39,規格資料庫!$A$2:$E$162,5,FALSE())/1000*IF(OR(H39="",H39=0),E39,H39)/1000*F39,0),""))</f>
        <v/>
      </c>
      <c r="N39" s="1" t="str">
        <f aca="false">IFERROR(VLOOKUP(C39,規格資料庫!$A$2:$B$162,2,FALSE()),"")</f>
        <v/>
      </c>
    </row>
    <row r="40" customFormat="false" ht="15" hidden="false" customHeight="true" outlineLevel="0" collapsed="false">
      <c r="A40" s="26"/>
      <c r="B40" s="21"/>
      <c r="C40" s="26"/>
      <c r="D40" s="26"/>
      <c r="E40" s="21"/>
      <c r="F40" s="21"/>
      <c r="G40" s="26"/>
      <c r="H40" s="21"/>
      <c r="I40" s="26"/>
      <c r="J40" s="22" t="str">
        <f aca="false">IFERROR(VLOOKUP(C40,規格資料庫!$A$2:$E$162,3,FALSE()),"")</f>
        <v/>
      </c>
      <c r="K40" s="23" t="str">
        <f aca="false">IFERROR(VLOOKUP(C40,規格資料庫!$A$2:$E$162,4,FALSE()),"")</f>
        <v/>
      </c>
      <c r="L40" s="24" t="str">
        <f aca="false">IF(J40="","",J40*E40/1000*F40)</f>
        <v/>
      </c>
      <c r="M40" s="25" t="str">
        <f aca="false">IF(OR(C40="",G40="",G40="無"),"",IFERROR(K40*IF(OR(H40="",H40=0),E40,H40)/1000*F40-IF(I40="是",VLOOKUP(C40,規格資料庫!$A$2:$E$162,5,FALSE())/1000*IF(OR(H40="",H40=0),E40,H40)/1000*F40,0),""))</f>
        <v/>
      </c>
      <c r="N40" s="1" t="str">
        <f aca="false">IFERROR(VLOOKUP(C40,規格資料庫!$A$2:$B$162,2,FALSE()),"")</f>
        <v/>
      </c>
    </row>
    <row r="41" customFormat="false" ht="15" hidden="false" customHeight="true" outlineLevel="0" collapsed="false">
      <c r="A41" s="26"/>
      <c r="B41" s="21"/>
      <c r="C41" s="26"/>
      <c r="D41" s="26"/>
      <c r="E41" s="21"/>
      <c r="F41" s="21"/>
      <c r="G41" s="26"/>
      <c r="H41" s="21"/>
      <c r="I41" s="26"/>
      <c r="J41" s="22" t="str">
        <f aca="false">IFERROR(VLOOKUP(C41,規格資料庫!$A$2:$E$162,3,FALSE()),"")</f>
        <v/>
      </c>
      <c r="K41" s="23" t="str">
        <f aca="false">IFERROR(VLOOKUP(C41,規格資料庫!$A$2:$E$162,4,FALSE()),"")</f>
        <v/>
      </c>
      <c r="L41" s="24" t="str">
        <f aca="false">IF(J41="","",J41*E41/1000*F41)</f>
        <v/>
      </c>
      <c r="M41" s="25" t="str">
        <f aca="false">IF(OR(C41="",G41="",G41="無"),"",IFERROR(K41*IF(OR(H41="",H41=0),E41,H41)/1000*F41-IF(I41="是",VLOOKUP(C41,規格資料庫!$A$2:$E$162,5,FALSE())/1000*IF(OR(H41="",H41=0),E41,H41)/1000*F41,0),""))</f>
        <v/>
      </c>
      <c r="N41" s="1" t="str">
        <f aca="false">IFERROR(VLOOKUP(C41,規格資料庫!$A$2:$B$162,2,FALSE()),"")</f>
        <v/>
      </c>
    </row>
    <row r="42" customFormat="false" ht="15" hidden="false" customHeight="true" outlineLevel="0" collapsed="false">
      <c r="A42" s="26"/>
      <c r="B42" s="21"/>
      <c r="C42" s="26"/>
      <c r="D42" s="26"/>
      <c r="E42" s="21"/>
      <c r="F42" s="21"/>
      <c r="G42" s="26"/>
      <c r="H42" s="21"/>
      <c r="I42" s="26"/>
      <c r="J42" s="22" t="str">
        <f aca="false">IFERROR(VLOOKUP(C42,規格資料庫!$A$2:$E$162,3,FALSE()),"")</f>
        <v/>
      </c>
      <c r="K42" s="23" t="str">
        <f aca="false">IFERROR(VLOOKUP(C42,規格資料庫!$A$2:$E$162,4,FALSE()),"")</f>
        <v/>
      </c>
      <c r="L42" s="24" t="str">
        <f aca="false">IF(J42="","",J42*E42/1000*F42)</f>
        <v/>
      </c>
      <c r="M42" s="25" t="str">
        <f aca="false">IF(OR(C42="",G42="",G42="無"),"",IFERROR(K42*IF(OR(H42="",H42=0),E42,H42)/1000*F42-IF(I42="是",VLOOKUP(C42,規格資料庫!$A$2:$E$162,5,FALSE())/1000*IF(OR(H42="",H42=0),E42,H42)/1000*F42,0),""))</f>
        <v/>
      </c>
      <c r="N42" s="1" t="str">
        <f aca="false">IFERROR(VLOOKUP(C42,規格資料庫!$A$2:$B$162,2,FALSE()),"")</f>
        <v/>
      </c>
    </row>
    <row r="43" customFormat="false" ht="15" hidden="false" customHeight="true" outlineLevel="0" collapsed="false">
      <c r="A43" s="26"/>
      <c r="B43" s="21"/>
      <c r="C43" s="26"/>
      <c r="D43" s="26"/>
      <c r="E43" s="21"/>
      <c r="F43" s="21"/>
      <c r="G43" s="26"/>
      <c r="H43" s="21"/>
      <c r="I43" s="26"/>
      <c r="J43" s="22" t="str">
        <f aca="false">IFERROR(VLOOKUP(C43,規格資料庫!$A$2:$E$162,3,FALSE()),"")</f>
        <v/>
      </c>
      <c r="K43" s="23" t="str">
        <f aca="false">IFERROR(VLOOKUP(C43,規格資料庫!$A$2:$E$162,4,FALSE()),"")</f>
        <v/>
      </c>
      <c r="L43" s="24" t="str">
        <f aca="false">IF(J43="","",J43*E43/1000*F43)</f>
        <v/>
      </c>
      <c r="M43" s="25" t="str">
        <f aca="false">IF(OR(C43="",G43="",G43="無"),"",IFERROR(K43*IF(OR(H43="",H43=0),E43,H43)/1000*F43-IF(I43="是",VLOOKUP(C43,規格資料庫!$A$2:$E$162,5,FALSE())/1000*IF(OR(H43="",H43=0),E43,H43)/1000*F43,0),""))</f>
        <v/>
      </c>
      <c r="N43" s="1" t="str">
        <f aca="false">IFERROR(VLOOKUP(C43,規格資料庫!$A$2:$B$162,2,FALSE()),"")</f>
        <v/>
      </c>
    </row>
    <row r="44" customFormat="false" ht="15" hidden="false" customHeight="true" outlineLevel="0" collapsed="false">
      <c r="A44" s="26"/>
      <c r="B44" s="21"/>
      <c r="C44" s="26"/>
      <c r="D44" s="26"/>
      <c r="E44" s="21"/>
      <c r="F44" s="21"/>
      <c r="G44" s="26"/>
      <c r="H44" s="21"/>
      <c r="I44" s="26"/>
      <c r="J44" s="22" t="str">
        <f aca="false">IFERROR(VLOOKUP(C44,規格資料庫!$A$2:$E$162,3,FALSE()),"")</f>
        <v/>
      </c>
      <c r="K44" s="23" t="str">
        <f aca="false">IFERROR(VLOOKUP(C44,規格資料庫!$A$2:$E$162,4,FALSE()),"")</f>
        <v/>
      </c>
      <c r="L44" s="24" t="str">
        <f aca="false">IF(J44="","",J44*E44/1000*F44)</f>
        <v/>
      </c>
      <c r="M44" s="25" t="str">
        <f aca="false">IF(OR(C44="",G44="",G44="無"),"",IFERROR(K44*IF(OR(H44="",H44=0),E44,H44)/1000*F44-IF(I44="是",VLOOKUP(C44,規格資料庫!$A$2:$E$162,5,FALSE())/1000*IF(OR(H44="",H44=0),E44,H44)/1000*F44,0),""))</f>
        <v/>
      </c>
      <c r="N44" s="1" t="str">
        <f aca="false">IFERROR(VLOOKUP(C44,規格資料庫!$A$2:$B$162,2,FALSE()),"")</f>
        <v/>
      </c>
    </row>
    <row r="45" customFormat="false" ht="15" hidden="false" customHeight="true" outlineLevel="0" collapsed="false">
      <c r="A45" s="26"/>
      <c r="B45" s="21"/>
      <c r="C45" s="26"/>
      <c r="D45" s="26"/>
      <c r="E45" s="21"/>
      <c r="F45" s="21"/>
      <c r="G45" s="26"/>
      <c r="H45" s="21"/>
      <c r="I45" s="26"/>
      <c r="J45" s="22" t="str">
        <f aca="false">IFERROR(VLOOKUP(C45,規格資料庫!$A$2:$E$162,3,FALSE()),"")</f>
        <v/>
      </c>
      <c r="K45" s="23" t="str">
        <f aca="false">IFERROR(VLOOKUP(C45,規格資料庫!$A$2:$E$162,4,FALSE()),"")</f>
        <v/>
      </c>
      <c r="L45" s="24" t="str">
        <f aca="false">IF(J45="","",J45*E45/1000*F45)</f>
        <v/>
      </c>
      <c r="M45" s="25" t="str">
        <f aca="false">IF(OR(C45="",G45="",G45="無"),"",IFERROR(K45*IF(OR(H45="",H45=0),E45,H45)/1000*F45-IF(I45="是",VLOOKUP(C45,規格資料庫!$A$2:$E$162,5,FALSE())/1000*IF(OR(H45="",H45=0),E45,H45)/1000*F45,0),""))</f>
        <v/>
      </c>
      <c r="N45" s="1" t="str">
        <f aca="false">IFERROR(VLOOKUP(C45,規格資料庫!$A$2:$B$162,2,FALSE()),"")</f>
        <v/>
      </c>
    </row>
    <row r="46" customFormat="false" ht="15" hidden="false" customHeight="true" outlineLevel="0" collapsed="false">
      <c r="A46" s="26"/>
      <c r="B46" s="21"/>
      <c r="C46" s="26"/>
      <c r="D46" s="26"/>
      <c r="E46" s="21"/>
      <c r="F46" s="21"/>
      <c r="G46" s="26"/>
      <c r="H46" s="21"/>
      <c r="I46" s="26"/>
      <c r="J46" s="22" t="str">
        <f aca="false">IFERROR(VLOOKUP(C46,規格資料庫!$A$2:$E$162,3,FALSE()),"")</f>
        <v/>
      </c>
      <c r="K46" s="23" t="str">
        <f aca="false">IFERROR(VLOOKUP(C46,規格資料庫!$A$2:$E$162,4,FALSE()),"")</f>
        <v/>
      </c>
      <c r="L46" s="24" t="str">
        <f aca="false">IF(J46="","",J46*E46/1000*F46)</f>
        <v/>
      </c>
      <c r="M46" s="25" t="str">
        <f aca="false">IF(OR(C46="",G46="",G46="無"),"",IFERROR(K46*IF(OR(H46="",H46=0),E46,H46)/1000*F46-IF(I46="是",VLOOKUP(C46,規格資料庫!$A$2:$E$162,5,FALSE())/1000*IF(OR(H46="",H46=0),E46,H46)/1000*F46,0),""))</f>
        <v/>
      </c>
      <c r="N46" s="1" t="str">
        <f aca="false">IFERROR(VLOOKUP(C46,規格資料庫!$A$2:$B$162,2,FALSE()),"")</f>
        <v/>
      </c>
    </row>
    <row r="47" customFormat="false" ht="15" hidden="false" customHeight="true" outlineLevel="0" collapsed="false">
      <c r="A47" s="26"/>
      <c r="B47" s="21"/>
      <c r="C47" s="26"/>
      <c r="D47" s="26"/>
      <c r="E47" s="21"/>
      <c r="F47" s="21"/>
      <c r="G47" s="26"/>
      <c r="H47" s="21"/>
      <c r="I47" s="26"/>
      <c r="J47" s="22" t="str">
        <f aca="false">IFERROR(VLOOKUP(C47,規格資料庫!$A$2:$E$162,3,FALSE()),"")</f>
        <v/>
      </c>
      <c r="K47" s="23" t="str">
        <f aca="false">IFERROR(VLOOKUP(C47,規格資料庫!$A$2:$E$162,4,FALSE()),"")</f>
        <v/>
      </c>
      <c r="L47" s="24" t="str">
        <f aca="false">IF(J47="","",J47*E47/1000*F47)</f>
        <v/>
      </c>
      <c r="M47" s="25" t="str">
        <f aca="false">IF(OR(C47="",G47="",G47="無"),"",IFERROR(K47*IF(OR(H47="",H47=0),E47,H47)/1000*F47-IF(I47="是",VLOOKUP(C47,規格資料庫!$A$2:$E$162,5,FALSE())/1000*IF(OR(H47="",H47=0),E47,H47)/1000*F47,0),""))</f>
        <v/>
      </c>
      <c r="N47" s="1" t="str">
        <f aca="false">IFERROR(VLOOKUP(C47,規格資料庫!$A$2:$B$162,2,FALSE()),"")</f>
        <v/>
      </c>
    </row>
    <row r="48" customFormat="false" ht="15" hidden="false" customHeight="true" outlineLevel="0" collapsed="false">
      <c r="A48" s="26"/>
      <c r="B48" s="21"/>
      <c r="C48" s="26"/>
      <c r="D48" s="26"/>
      <c r="E48" s="21"/>
      <c r="F48" s="21"/>
      <c r="G48" s="26"/>
      <c r="H48" s="21"/>
      <c r="I48" s="26"/>
      <c r="J48" s="22" t="str">
        <f aca="false">IFERROR(VLOOKUP(C48,規格資料庫!$A$2:$E$162,3,FALSE()),"")</f>
        <v/>
      </c>
      <c r="K48" s="23" t="str">
        <f aca="false">IFERROR(VLOOKUP(C48,規格資料庫!$A$2:$E$162,4,FALSE()),"")</f>
        <v/>
      </c>
      <c r="L48" s="24" t="str">
        <f aca="false">IF(J48="","",J48*E48/1000*F48)</f>
        <v/>
      </c>
      <c r="M48" s="25" t="str">
        <f aca="false">IF(OR(C48="",G48="",G48="無"),"",IFERROR(K48*IF(OR(H48="",H48=0),E48,H48)/1000*F48-IF(I48="是",VLOOKUP(C48,規格資料庫!$A$2:$E$162,5,FALSE())/1000*IF(OR(H48="",H48=0),E48,H48)/1000*F48,0),""))</f>
        <v/>
      </c>
      <c r="N48" s="1" t="str">
        <f aca="false">IFERROR(VLOOKUP(C48,規格資料庫!$A$2:$B$162,2,FALSE()),"")</f>
        <v/>
      </c>
    </row>
    <row r="49" customFormat="false" ht="15" hidden="false" customHeight="true" outlineLevel="0" collapsed="false">
      <c r="A49" s="27" t="s">
        <v>65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8" t="n">
        <f aca="false">SUM(L29:L48)</f>
        <v>15486</v>
      </c>
      <c r="M49" s="29" t="n">
        <f aca="false">SUM(M29:M48)</f>
        <v>103.73</v>
      </c>
      <c r="O49" s="30" t="n">
        <f aca="false">SUMIF(G29:G48,"油漆",M29:M48)</f>
        <v>55.73</v>
      </c>
      <c r="P49" s="30" t="n">
        <f aca="false">SUMIF(G29:G48,"防火漆1hr",M29:M48)</f>
        <v>0</v>
      </c>
      <c r="Q49" s="30" t="n">
        <f aca="false">SUMIF(G29:G48,"防火漆2hr",M29:M48)</f>
        <v>48</v>
      </c>
      <c r="R49" s="30" t="n">
        <f aca="false">SUMIF(G29:G48,"防火批覆",M29:M48)</f>
        <v>0</v>
      </c>
      <c r="S49" s="31" t="n">
        <f aca="false">SUMPRODUCT((D29:D48="SN400B")*IF(ISNUMBER(L29:L48),L29:L48,0))</f>
        <v>15486</v>
      </c>
      <c r="T49" s="31" t="n">
        <f aca="false">SUMPRODUCT((D29:D48="A36")*IF(ISNUMBER(L29:L48),L29:L48,0))</f>
        <v>0</v>
      </c>
      <c r="U49" s="31" t="n">
        <f aca="false">SUMPRODUCT((D29:D48="SN490B")*IF(ISNUMBER(L29:L48),L29:L48,0))</f>
        <v>0</v>
      </c>
      <c r="V49" s="31" t="n">
        <f aca="false">SUMPRODUCT((D29:D48="A572 Gr.50")*IF(ISNUMBER(L29:L48),L29:L48,0))</f>
        <v>0</v>
      </c>
      <c r="W49" s="31" t="n">
        <f aca="false">SUMPRODUCT((N29:N48="GR")*IF(ISNUMBER(L29:L48),L29:L48,0))</f>
        <v>0</v>
      </c>
      <c r="X49" s="31" t="n">
        <f aca="false">SUMPRODUCT((N29:N48="CP")*IF(ISNUMBER(L29:L48),L29:L48,0))</f>
        <v>0</v>
      </c>
    </row>
    <row r="51" customFormat="false" ht="18.75" hidden="false" customHeight="true" outlineLevel="0" collapsed="false">
      <c r="A51" s="7" t="s">
        <v>72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customFormat="false" ht="43.5" hidden="false" customHeight="true" outlineLevel="0" collapsed="false">
      <c r="A52" s="12" t="s">
        <v>36</v>
      </c>
      <c r="B52" s="12" t="s">
        <v>37</v>
      </c>
      <c r="C52" s="12" t="s">
        <v>38</v>
      </c>
      <c r="D52" s="12" t="s">
        <v>39</v>
      </c>
      <c r="E52" s="12" t="s">
        <v>40</v>
      </c>
      <c r="F52" s="12" t="s">
        <v>41</v>
      </c>
      <c r="G52" s="12" t="s">
        <v>42</v>
      </c>
      <c r="H52" s="12" t="s">
        <v>43</v>
      </c>
      <c r="I52" s="12" t="s">
        <v>44</v>
      </c>
      <c r="J52" s="12" t="s">
        <v>45</v>
      </c>
      <c r="K52" s="12" t="s">
        <v>46</v>
      </c>
      <c r="L52" s="12" t="s">
        <v>47</v>
      </c>
      <c r="M52" s="12" t="s">
        <v>48</v>
      </c>
    </row>
    <row r="53" customFormat="false" ht="15" hidden="false" customHeight="true" outlineLevel="0" collapsed="false">
      <c r="A53" s="18" t="s">
        <v>49</v>
      </c>
      <c r="B53" s="19" t="s">
        <v>73</v>
      </c>
      <c r="C53" s="18" t="s">
        <v>55</v>
      </c>
      <c r="D53" s="18" t="s">
        <v>24</v>
      </c>
      <c r="E53" s="19" t="n">
        <v>7500</v>
      </c>
      <c r="F53" s="19" t="n">
        <v>2</v>
      </c>
      <c r="G53" s="20" t="s">
        <v>74</v>
      </c>
      <c r="H53" s="21"/>
      <c r="I53" s="20" t="s">
        <v>75</v>
      </c>
      <c r="J53" s="22" t="n">
        <f aca="false">IFERROR(VLOOKUP(C53,規格資料庫!$A$2:$E$162,3,FALSE()),"")</f>
        <v>43.6</v>
      </c>
      <c r="K53" s="23" t="n">
        <f aca="false">IFERROR(VLOOKUP(C53,規格資料庫!$A$2:$E$162,4,FALSE()),"")</f>
        <v>1.174</v>
      </c>
      <c r="L53" s="24" t="n">
        <f aca="false">IF(J53="","",J53*E53/1000*F53)</f>
        <v>654</v>
      </c>
      <c r="M53" s="25" t="n">
        <f aca="false">IF(OR(C53="",G53="",G53="無"),"",IFERROR(K53*IF(OR(H53="",H53=0),E53,H53)/1000*F53-IF(I53="是",VLOOKUP(C53,規格資料庫!$A$2:$E$162,5,FALSE())/1000*IF(OR(H53="",H53=0),E53,H53)/1000*F53,0),""))</f>
        <v>14.985</v>
      </c>
      <c r="N53" s="1" t="str">
        <f aca="false">IFERROR(VLOOKUP(C53,規格資料庫!$A$2:$B$162,2,FALSE()),"")</f>
        <v>H</v>
      </c>
    </row>
    <row r="54" customFormat="false" ht="15" hidden="false" customHeight="true" outlineLevel="0" collapsed="false">
      <c r="A54" s="18" t="s">
        <v>49</v>
      </c>
      <c r="B54" s="19" t="s">
        <v>56</v>
      </c>
      <c r="C54" s="18" t="s">
        <v>57</v>
      </c>
      <c r="D54" s="18" t="s">
        <v>24</v>
      </c>
      <c r="E54" s="19" t="n">
        <v>2500</v>
      </c>
      <c r="F54" s="19" t="n">
        <v>3</v>
      </c>
      <c r="G54" s="20" t="s">
        <v>74</v>
      </c>
      <c r="H54" s="21"/>
      <c r="I54" s="20" t="s">
        <v>75</v>
      </c>
      <c r="J54" s="22" t="n">
        <f aca="false">IFERROR(VLOOKUP(C54,規格資料庫!$A$2:$E$162,3,FALSE()),"")</f>
        <v>29.9</v>
      </c>
      <c r="K54" s="23" t="n">
        <f aca="false">IFERROR(VLOOKUP(C54,規格資料庫!$A$2:$E$162,4,FALSE()),"")</f>
        <v>0.976</v>
      </c>
      <c r="L54" s="24" t="n">
        <f aca="false">IF(J54="","",J54*E54/1000*F54)</f>
        <v>224.25</v>
      </c>
      <c r="M54" s="25" t="n">
        <f aca="false">IF(OR(C54="",G54="",G54="無"),"",IFERROR(K54*IF(OR(H54="",H54=0),E54,H54)/1000*F54-IF(I54="是",VLOOKUP(C54,規格資料庫!$A$2:$E$162,5,FALSE())/1000*IF(OR(H54="",H54=0),E54,H54)/1000*F54,0),""))</f>
        <v>6.195</v>
      </c>
      <c r="N54" s="1" t="str">
        <f aca="false">IFERROR(VLOOKUP(C54,規格資料庫!$A$2:$B$162,2,FALSE()),"")</f>
        <v>H</v>
      </c>
    </row>
    <row r="55" customFormat="false" ht="15" hidden="false" customHeight="true" outlineLevel="0" collapsed="false">
      <c r="A55" s="18" t="s">
        <v>76</v>
      </c>
      <c r="B55" s="19" t="s">
        <v>77</v>
      </c>
      <c r="C55" s="18" t="s">
        <v>78</v>
      </c>
      <c r="D55" s="18" t="s">
        <v>32</v>
      </c>
      <c r="E55" s="19" t="n">
        <v>7500</v>
      </c>
      <c r="F55" s="19" t="n">
        <v>4</v>
      </c>
      <c r="G55" s="20" t="s">
        <v>52</v>
      </c>
      <c r="H55" s="21"/>
      <c r="I55" s="20" t="s">
        <v>53</v>
      </c>
      <c r="J55" s="22" t="n">
        <f aca="false">IFERROR(VLOOKUP(C55,規格資料庫!$A$2:$E$162,3,FALSE()),"")</f>
        <v>18.6</v>
      </c>
      <c r="K55" s="23" t="n">
        <f aca="false">IFERROR(VLOOKUP(C55,規格資料庫!$A$2:$E$162,4,FALSE()),"")</f>
        <v>0.587</v>
      </c>
      <c r="L55" s="24" t="n">
        <f aca="false">IF(J55="","",J55*E55/1000*F55)</f>
        <v>558</v>
      </c>
      <c r="M55" s="25" t="n">
        <f aca="false">IF(OR(C55="",G55="",G55="無"),"",IFERROR(K55*IF(OR(H55="",H55=0),E55,H55)/1000*F55-IF(I55="是",VLOOKUP(C55,規格資料庫!$A$2:$E$162,5,FALSE())/1000*IF(OR(H55="",H55=0),E55,H55)/1000*F55,0),""))</f>
        <v>17.61</v>
      </c>
      <c r="N55" s="1" t="str">
        <f aca="false">IFERROR(VLOOKUP(C55,規格資料庫!$A$2:$B$162,2,FALSE()),"")</f>
        <v>C</v>
      </c>
    </row>
    <row r="56" customFormat="false" ht="15" hidden="false" customHeight="true" outlineLevel="0" collapsed="false">
      <c r="A56" s="18" t="s">
        <v>79</v>
      </c>
      <c r="B56" s="19" t="s">
        <v>80</v>
      </c>
      <c r="C56" s="18" t="s">
        <v>81</v>
      </c>
      <c r="D56" s="18" t="s">
        <v>24</v>
      </c>
      <c r="E56" s="19" t="n">
        <v>1200</v>
      </c>
      <c r="F56" s="19" t="n">
        <v>4</v>
      </c>
      <c r="G56" s="20" t="s">
        <v>52</v>
      </c>
      <c r="H56" s="21"/>
      <c r="I56" s="20" t="s">
        <v>53</v>
      </c>
      <c r="J56" s="22" t="n">
        <f aca="false">IFERROR(VLOOKUP(C56,規格資料庫!$A$2:$E$162,3,FALSE()),"")</f>
        <v>5.96</v>
      </c>
      <c r="K56" s="23" t="n">
        <f aca="false">IFERROR(VLOOKUP(C56,規格資料庫!$A$2:$E$162,4,FALSE()),"")</f>
        <v>0.28</v>
      </c>
      <c r="L56" s="24" t="n">
        <f aca="false">IF(J56="","",J56*E56/1000*F56)</f>
        <v>28.608</v>
      </c>
      <c r="M56" s="25" t="n">
        <f aca="false">IF(OR(C56="",G56="",G56="無"),"",IFERROR(K56*IF(OR(H56="",H56=0),E56,H56)/1000*F56-IF(I56="是",VLOOKUP(C56,規格資料庫!$A$2:$E$162,5,FALSE())/1000*IF(OR(H56="",H56=0),E56,H56)/1000*F56,0),""))</f>
        <v>1.344</v>
      </c>
      <c r="N56" s="1" t="str">
        <f aca="false">IFERROR(VLOOKUP(C56,規格資料庫!$A$2:$B$162,2,FALSE()),"")</f>
        <v>P</v>
      </c>
    </row>
    <row r="57" customFormat="false" ht="15" hidden="false" customHeight="true" outlineLevel="0" collapsed="false">
      <c r="A57" s="26"/>
      <c r="B57" s="21"/>
      <c r="C57" s="26"/>
      <c r="D57" s="26"/>
      <c r="E57" s="21"/>
      <c r="F57" s="21"/>
      <c r="G57" s="26"/>
      <c r="H57" s="21"/>
      <c r="I57" s="26"/>
      <c r="J57" s="22" t="str">
        <f aca="false">IFERROR(VLOOKUP(C57,規格資料庫!$A$2:$E$162,3,FALSE()),"")</f>
        <v/>
      </c>
      <c r="K57" s="23" t="str">
        <f aca="false">IFERROR(VLOOKUP(C57,規格資料庫!$A$2:$E$162,4,FALSE()),"")</f>
        <v/>
      </c>
      <c r="L57" s="24" t="str">
        <f aca="false">IF(J57="","",J57*E57/1000*F57)</f>
        <v/>
      </c>
      <c r="M57" s="25" t="str">
        <f aca="false">IF(OR(C57="",G57="",G57="無"),"",IFERROR(K57*IF(OR(H57="",H57=0),E57,H57)/1000*F57-IF(I57="是",VLOOKUP(C57,規格資料庫!$A$2:$E$162,5,FALSE())/1000*IF(OR(H57="",H57=0),E57,H57)/1000*F57,0),""))</f>
        <v/>
      </c>
      <c r="N57" s="1" t="str">
        <f aca="false">IFERROR(VLOOKUP(C57,規格資料庫!$A$2:$B$162,2,FALSE()),"")</f>
        <v/>
      </c>
    </row>
    <row r="58" customFormat="false" ht="15" hidden="false" customHeight="true" outlineLevel="0" collapsed="false">
      <c r="A58" s="26"/>
      <c r="B58" s="21"/>
      <c r="C58" s="26"/>
      <c r="D58" s="26"/>
      <c r="E58" s="21"/>
      <c r="F58" s="21"/>
      <c r="G58" s="26"/>
      <c r="H58" s="21"/>
      <c r="I58" s="26"/>
      <c r="J58" s="22" t="str">
        <f aca="false">IFERROR(VLOOKUP(C58,規格資料庫!$A$2:$E$162,3,FALSE()),"")</f>
        <v/>
      </c>
      <c r="K58" s="23" t="str">
        <f aca="false">IFERROR(VLOOKUP(C58,規格資料庫!$A$2:$E$162,4,FALSE()),"")</f>
        <v/>
      </c>
      <c r="L58" s="24" t="str">
        <f aca="false">IF(J58="","",J58*E58/1000*F58)</f>
        <v/>
      </c>
      <c r="M58" s="25" t="str">
        <f aca="false">IF(OR(C58="",G58="",G58="無"),"",IFERROR(K58*IF(OR(H58="",H58=0),E58,H58)/1000*F58-IF(I58="是",VLOOKUP(C58,規格資料庫!$A$2:$E$162,5,FALSE())/1000*IF(OR(H58="",H58=0),E58,H58)/1000*F58,0),""))</f>
        <v/>
      </c>
      <c r="N58" s="1" t="str">
        <f aca="false">IFERROR(VLOOKUP(C58,規格資料庫!$A$2:$B$162,2,FALSE()),"")</f>
        <v/>
      </c>
    </row>
    <row r="59" customFormat="false" ht="15" hidden="false" customHeight="true" outlineLevel="0" collapsed="false">
      <c r="A59" s="26"/>
      <c r="B59" s="21"/>
      <c r="C59" s="26"/>
      <c r="D59" s="26"/>
      <c r="E59" s="21"/>
      <c r="F59" s="21"/>
      <c r="G59" s="26"/>
      <c r="H59" s="21"/>
      <c r="I59" s="26"/>
      <c r="J59" s="22" t="str">
        <f aca="false">IFERROR(VLOOKUP(C59,規格資料庫!$A$2:$E$162,3,FALSE()),"")</f>
        <v/>
      </c>
      <c r="K59" s="23" t="str">
        <f aca="false">IFERROR(VLOOKUP(C59,規格資料庫!$A$2:$E$162,4,FALSE()),"")</f>
        <v/>
      </c>
      <c r="L59" s="24" t="str">
        <f aca="false">IF(J59="","",J59*E59/1000*F59)</f>
        <v/>
      </c>
      <c r="M59" s="25" t="str">
        <f aca="false">IF(OR(C59="",G59="",G59="無"),"",IFERROR(K59*IF(OR(H59="",H59=0),E59,H59)/1000*F59-IF(I59="是",VLOOKUP(C59,規格資料庫!$A$2:$E$162,5,FALSE())/1000*IF(OR(H59="",H59=0),E59,H59)/1000*F59,0),""))</f>
        <v/>
      </c>
      <c r="N59" s="1" t="str">
        <f aca="false">IFERROR(VLOOKUP(C59,規格資料庫!$A$2:$B$162,2,FALSE()),"")</f>
        <v/>
      </c>
    </row>
    <row r="60" customFormat="false" ht="15" hidden="false" customHeight="true" outlineLevel="0" collapsed="false">
      <c r="A60" s="26"/>
      <c r="B60" s="21"/>
      <c r="C60" s="26"/>
      <c r="D60" s="26"/>
      <c r="E60" s="21"/>
      <c r="F60" s="21"/>
      <c r="G60" s="26"/>
      <c r="H60" s="21"/>
      <c r="I60" s="26"/>
      <c r="J60" s="22" t="str">
        <f aca="false">IFERROR(VLOOKUP(C60,規格資料庫!$A$2:$E$162,3,FALSE()),"")</f>
        <v/>
      </c>
      <c r="K60" s="23" t="str">
        <f aca="false">IFERROR(VLOOKUP(C60,規格資料庫!$A$2:$E$162,4,FALSE()),"")</f>
        <v/>
      </c>
      <c r="L60" s="24" t="str">
        <f aca="false">IF(J60="","",J60*E60/1000*F60)</f>
        <v/>
      </c>
      <c r="M60" s="25" t="str">
        <f aca="false">IF(OR(C60="",G60="",G60="無"),"",IFERROR(K60*IF(OR(H60="",H60=0),E60,H60)/1000*F60-IF(I60="是",VLOOKUP(C60,規格資料庫!$A$2:$E$162,5,FALSE())/1000*IF(OR(H60="",H60=0),E60,H60)/1000*F60,0),""))</f>
        <v/>
      </c>
      <c r="N60" s="1" t="str">
        <f aca="false">IFERROR(VLOOKUP(C60,規格資料庫!$A$2:$B$162,2,FALSE()),"")</f>
        <v/>
      </c>
    </row>
    <row r="61" customFormat="false" ht="15" hidden="false" customHeight="true" outlineLevel="0" collapsed="false">
      <c r="A61" s="26"/>
      <c r="B61" s="21"/>
      <c r="C61" s="26"/>
      <c r="D61" s="26"/>
      <c r="E61" s="21"/>
      <c r="F61" s="21"/>
      <c r="G61" s="26"/>
      <c r="H61" s="21"/>
      <c r="I61" s="26"/>
      <c r="J61" s="22" t="str">
        <f aca="false">IFERROR(VLOOKUP(C61,規格資料庫!$A$2:$E$162,3,FALSE()),"")</f>
        <v/>
      </c>
      <c r="K61" s="23" t="str">
        <f aca="false">IFERROR(VLOOKUP(C61,規格資料庫!$A$2:$E$162,4,FALSE()),"")</f>
        <v/>
      </c>
      <c r="L61" s="24" t="str">
        <f aca="false">IF(J61="","",J61*E61/1000*F61)</f>
        <v/>
      </c>
      <c r="M61" s="25" t="str">
        <f aca="false">IF(OR(C61="",G61="",G61="無"),"",IFERROR(K61*IF(OR(H61="",H61=0),E61,H61)/1000*F61-IF(I61="是",VLOOKUP(C61,規格資料庫!$A$2:$E$162,5,FALSE())/1000*IF(OR(H61="",H61=0),E61,H61)/1000*F61,0),""))</f>
        <v/>
      </c>
      <c r="N61" s="1" t="str">
        <f aca="false">IFERROR(VLOOKUP(C61,規格資料庫!$A$2:$B$162,2,FALSE()),"")</f>
        <v/>
      </c>
    </row>
    <row r="62" customFormat="false" ht="15" hidden="false" customHeight="true" outlineLevel="0" collapsed="false">
      <c r="A62" s="26"/>
      <c r="B62" s="21"/>
      <c r="C62" s="26"/>
      <c r="D62" s="26"/>
      <c r="E62" s="21"/>
      <c r="F62" s="21"/>
      <c r="G62" s="26"/>
      <c r="H62" s="21"/>
      <c r="I62" s="26"/>
      <c r="J62" s="22" t="str">
        <f aca="false">IFERROR(VLOOKUP(C62,規格資料庫!$A$2:$E$162,3,FALSE()),"")</f>
        <v/>
      </c>
      <c r="K62" s="23" t="str">
        <f aca="false">IFERROR(VLOOKUP(C62,規格資料庫!$A$2:$E$162,4,FALSE()),"")</f>
        <v/>
      </c>
      <c r="L62" s="24" t="str">
        <f aca="false">IF(J62="","",J62*E62/1000*F62)</f>
        <v/>
      </c>
      <c r="M62" s="25" t="str">
        <f aca="false">IF(OR(C62="",G62="",G62="無"),"",IFERROR(K62*IF(OR(H62="",H62=0),E62,H62)/1000*F62-IF(I62="是",VLOOKUP(C62,規格資料庫!$A$2:$E$162,5,FALSE())/1000*IF(OR(H62="",H62=0),E62,H62)/1000*F62,0),""))</f>
        <v/>
      </c>
      <c r="N62" s="1" t="str">
        <f aca="false">IFERROR(VLOOKUP(C62,規格資料庫!$A$2:$B$162,2,FALSE()),"")</f>
        <v/>
      </c>
    </row>
    <row r="63" customFormat="false" ht="15" hidden="false" customHeight="true" outlineLevel="0" collapsed="false">
      <c r="A63" s="26"/>
      <c r="B63" s="21"/>
      <c r="C63" s="26"/>
      <c r="D63" s="26"/>
      <c r="E63" s="21"/>
      <c r="F63" s="21"/>
      <c r="G63" s="26"/>
      <c r="H63" s="21"/>
      <c r="I63" s="26"/>
      <c r="J63" s="22" t="str">
        <f aca="false">IFERROR(VLOOKUP(C63,規格資料庫!$A$2:$E$162,3,FALSE()),"")</f>
        <v/>
      </c>
      <c r="K63" s="23" t="str">
        <f aca="false">IFERROR(VLOOKUP(C63,規格資料庫!$A$2:$E$162,4,FALSE()),"")</f>
        <v/>
      </c>
      <c r="L63" s="24" t="str">
        <f aca="false">IF(J63="","",J63*E63/1000*F63)</f>
        <v/>
      </c>
      <c r="M63" s="25" t="str">
        <f aca="false">IF(OR(C63="",G63="",G63="無"),"",IFERROR(K63*IF(OR(H63="",H63=0),E63,H63)/1000*F63-IF(I63="是",VLOOKUP(C63,規格資料庫!$A$2:$E$162,5,FALSE())/1000*IF(OR(H63="",H63=0),E63,H63)/1000*F63,0),""))</f>
        <v/>
      </c>
      <c r="N63" s="1" t="str">
        <f aca="false">IFERROR(VLOOKUP(C63,規格資料庫!$A$2:$B$162,2,FALSE()),"")</f>
        <v/>
      </c>
    </row>
    <row r="64" customFormat="false" ht="15" hidden="false" customHeight="true" outlineLevel="0" collapsed="false">
      <c r="A64" s="26"/>
      <c r="B64" s="21"/>
      <c r="C64" s="26"/>
      <c r="D64" s="26"/>
      <c r="E64" s="21"/>
      <c r="F64" s="21"/>
      <c r="G64" s="26"/>
      <c r="H64" s="21"/>
      <c r="I64" s="26"/>
      <c r="J64" s="22" t="str">
        <f aca="false">IFERROR(VLOOKUP(C64,規格資料庫!$A$2:$E$162,3,FALSE()),"")</f>
        <v/>
      </c>
      <c r="K64" s="23" t="str">
        <f aca="false">IFERROR(VLOOKUP(C64,規格資料庫!$A$2:$E$162,4,FALSE()),"")</f>
        <v/>
      </c>
      <c r="L64" s="24" t="str">
        <f aca="false">IF(J64="","",J64*E64/1000*F64)</f>
        <v/>
      </c>
      <c r="M64" s="25" t="str">
        <f aca="false">IF(OR(C64="",G64="",G64="無"),"",IFERROR(K64*IF(OR(H64="",H64=0),E64,H64)/1000*F64-IF(I64="是",VLOOKUP(C64,規格資料庫!$A$2:$E$162,5,FALSE())/1000*IF(OR(H64="",H64=0),E64,H64)/1000*F64,0),""))</f>
        <v/>
      </c>
      <c r="N64" s="1" t="str">
        <f aca="false">IFERROR(VLOOKUP(C64,規格資料庫!$A$2:$B$162,2,FALSE()),"")</f>
        <v/>
      </c>
    </row>
    <row r="65" customFormat="false" ht="15" hidden="false" customHeight="true" outlineLevel="0" collapsed="false">
      <c r="A65" s="26"/>
      <c r="B65" s="21"/>
      <c r="C65" s="26"/>
      <c r="D65" s="26"/>
      <c r="E65" s="21"/>
      <c r="F65" s="21"/>
      <c r="G65" s="26"/>
      <c r="H65" s="21"/>
      <c r="I65" s="26"/>
      <c r="J65" s="22" t="str">
        <f aca="false">IFERROR(VLOOKUP(C65,規格資料庫!$A$2:$E$162,3,FALSE()),"")</f>
        <v/>
      </c>
      <c r="K65" s="23" t="str">
        <f aca="false">IFERROR(VLOOKUP(C65,規格資料庫!$A$2:$E$162,4,FALSE()),"")</f>
        <v/>
      </c>
      <c r="L65" s="24" t="str">
        <f aca="false">IF(J65="","",J65*E65/1000*F65)</f>
        <v/>
      </c>
      <c r="M65" s="25" t="str">
        <f aca="false">IF(OR(C65="",G65="",G65="無"),"",IFERROR(K65*IF(OR(H65="",H65=0),E65,H65)/1000*F65-IF(I65="是",VLOOKUP(C65,規格資料庫!$A$2:$E$162,5,FALSE())/1000*IF(OR(H65="",H65=0),E65,H65)/1000*F65,0),""))</f>
        <v/>
      </c>
      <c r="N65" s="1" t="str">
        <f aca="false">IFERROR(VLOOKUP(C65,規格資料庫!$A$2:$B$162,2,FALSE()),"")</f>
        <v/>
      </c>
    </row>
    <row r="66" customFormat="false" ht="15" hidden="false" customHeight="true" outlineLevel="0" collapsed="false">
      <c r="A66" s="26"/>
      <c r="B66" s="21"/>
      <c r="C66" s="26"/>
      <c r="D66" s="26"/>
      <c r="E66" s="21"/>
      <c r="F66" s="21"/>
      <c r="G66" s="26"/>
      <c r="H66" s="21"/>
      <c r="I66" s="26"/>
      <c r="J66" s="22" t="str">
        <f aca="false">IFERROR(VLOOKUP(C66,規格資料庫!$A$2:$E$162,3,FALSE()),"")</f>
        <v/>
      </c>
      <c r="K66" s="23" t="str">
        <f aca="false">IFERROR(VLOOKUP(C66,規格資料庫!$A$2:$E$162,4,FALSE()),"")</f>
        <v/>
      </c>
      <c r="L66" s="24" t="str">
        <f aca="false">IF(J66="","",J66*E66/1000*F66)</f>
        <v/>
      </c>
      <c r="M66" s="25" t="str">
        <f aca="false">IF(OR(C66="",G66="",G66="無"),"",IFERROR(K66*IF(OR(H66="",H66=0),E66,H66)/1000*F66-IF(I66="是",VLOOKUP(C66,規格資料庫!$A$2:$E$162,5,FALSE())/1000*IF(OR(H66="",H66=0),E66,H66)/1000*F66,0),""))</f>
        <v/>
      </c>
      <c r="N66" s="1" t="str">
        <f aca="false">IFERROR(VLOOKUP(C66,規格資料庫!$A$2:$B$162,2,FALSE()),"")</f>
        <v/>
      </c>
    </row>
    <row r="67" customFormat="false" ht="15" hidden="false" customHeight="true" outlineLevel="0" collapsed="false">
      <c r="A67" s="26"/>
      <c r="B67" s="21"/>
      <c r="C67" s="26"/>
      <c r="D67" s="26"/>
      <c r="E67" s="21"/>
      <c r="F67" s="21"/>
      <c r="G67" s="26"/>
      <c r="H67" s="21"/>
      <c r="I67" s="26"/>
      <c r="J67" s="22" t="str">
        <f aca="false">IFERROR(VLOOKUP(C67,規格資料庫!$A$2:$E$162,3,FALSE()),"")</f>
        <v/>
      </c>
      <c r="K67" s="23" t="str">
        <f aca="false">IFERROR(VLOOKUP(C67,規格資料庫!$A$2:$E$162,4,FALSE()),"")</f>
        <v/>
      </c>
      <c r="L67" s="24" t="str">
        <f aca="false">IF(J67="","",J67*E67/1000*F67)</f>
        <v/>
      </c>
      <c r="M67" s="25" t="str">
        <f aca="false">IF(OR(C67="",G67="",G67="無"),"",IFERROR(K67*IF(OR(H67="",H67=0),E67,H67)/1000*F67-IF(I67="是",VLOOKUP(C67,規格資料庫!$A$2:$E$162,5,FALSE())/1000*IF(OR(H67="",H67=0),E67,H67)/1000*F67,0),""))</f>
        <v/>
      </c>
      <c r="N67" s="1" t="str">
        <f aca="false">IFERROR(VLOOKUP(C67,規格資料庫!$A$2:$B$162,2,FALSE()),"")</f>
        <v/>
      </c>
    </row>
    <row r="68" customFormat="false" ht="15" hidden="false" customHeight="true" outlineLevel="0" collapsed="false">
      <c r="A68" s="26"/>
      <c r="B68" s="21"/>
      <c r="C68" s="26"/>
      <c r="D68" s="26"/>
      <c r="E68" s="21"/>
      <c r="F68" s="21"/>
      <c r="G68" s="26"/>
      <c r="H68" s="21"/>
      <c r="I68" s="26"/>
      <c r="J68" s="22" t="str">
        <f aca="false">IFERROR(VLOOKUP(C68,規格資料庫!$A$2:$E$162,3,FALSE()),"")</f>
        <v/>
      </c>
      <c r="K68" s="23" t="str">
        <f aca="false">IFERROR(VLOOKUP(C68,規格資料庫!$A$2:$E$162,4,FALSE()),"")</f>
        <v/>
      </c>
      <c r="L68" s="24" t="str">
        <f aca="false">IF(J68="","",J68*E68/1000*F68)</f>
        <v/>
      </c>
      <c r="M68" s="25" t="str">
        <f aca="false">IF(OR(C68="",G68="",G68="無"),"",IFERROR(K68*IF(OR(H68="",H68=0),E68,H68)/1000*F68-IF(I68="是",VLOOKUP(C68,規格資料庫!$A$2:$E$162,5,FALSE())/1000*IF(OR(H68="",H68=0),E68,H68)/1000*F68,0),""))</f>
        <v/>
      </c>
      <c r="N68" s="1" t="str">
        <f aca="false">IFERROR(VLOOKUP(C68,規格資料庫!$A$2:$B$162,2,FALSE()),"")</f>
        <v/>
      </c>
    </row>
    <row r="69" customFormat="false" ht="15" hidden="false" customHeight="true" outlineLevel="0" collapsed="false">
      <c r="A69" s="26"/>
      <c r="B69" s="21"/>
      <c r="C69" s="26"/>
      <c r="D69" s="26"/>
      <c r="E69" s="21"/>
      <c r="F69" s="21"/>
      <c r="G69" s="26"/>
      <c r="H69" s="21"/>
      <c r="I69" s="26"/>
      <c r="J69" s="22" t="str">
        <f aca="false">IFERROR(VLOOKUP(C69,規格資料庫!$A$2:$E$162,3,FALSE()),"")</f>
        <v/>
      </c>
      <c r="K69" s="23" t="str">
        <f aca="false">IFERROR(VLOOKUP(C69,規格資料庫!$A$2:$E$162,4,FALSE()),"")</f>
        <v/>
      </c>
      <c r="L69" s="24" t="str">
        <f aca="false">IF(J69="","",J69*E69/1000*F69)</f>
        <v/>
      </c>
      <c r="M69" s="25" t="str">
        <f aca="false">IF(OR(C69="",G69="",G69="無"),"",IFERROR(K69*IF(OR(H69="",H69=0),E69,H69)/1000*F69-IF(I69="是",VLOOKUP(C69,規格資料庫!$A$2:$E$162,5,FALSE())/1000*IF(OR(H69="",H69=0),E69,H69)/1000*F69,0),""))</f>
        <v/>
      </c>
      <c r="N69" s="1" t="str">
        <f aca="false">IFERROR(VLOOKUP(C69,規格資料庫!$A$2:$B$162,2,FALSE()),"")</f>
        <v/>
      </c>
    </row>
    <row r="70" customFormat="false" ht="15" hidden="false" customHeight="true" outlineLevel="0" collapsed="false">
      <c r="A70" s="26"/>
      <c r="B70" s="21"/>
      <c r="C70" s="26"/>
      <c r="D70" s="26"/>
      <c r="E70" s="21"/>
      <c r="F70" s="21"/>
      <c r="G70" s="26"/>
      <c r="H70" s="21"/>
      <c r="I70" s="26"/>
      <c r="J70" s="22" t="str">
        <f aca="false">IFERROR(VLOOKUP(C70,規格資料庫!$A$2:$E$162,3,FALSE()),"")</f>
        <v/>
      </c>
      <c r="K70" s="23" t="str">
        <f aca="false">IFERROR(VLOOKUP(C70,規格資料庫!$A$2:$E$162,4,FALSE()),"")</f>
        <v/>
      </c>
      <c r="L70" s="24" t="str">
        <f aca="false">IF(J70="","",J70*E70/1000*F70)</f>
        <v/>
      </c>
      <c r="M70" s="25" t="str">
        <f aca="false">IF(OR(C70="",G70="",G70="無"),"",IFERROR(K70*IF(OR(H70="",H70=0),E70,H70)/1000*F70-IF(I70="是",VLOOKUP(C70,規格資料庫!$A$2:$E$162,5,FALSE())/1000*IF(OR(H70="",H70=0),E70,H70)/1000*F70,0),""))</f>
        <v/>
      </c>
      <c r="N70" s="1" t="str">
        <f aca="false">IFERROR(VLOOKUP(C70,規格資料庫!$A$2:$B$162,2,FALSE()),"")</f>
        <v/>
      </c>
    </row>
    <row r="71" customFormat="false" ht="15" hidden="false" customHeight="true" outlineLevel="0" collapsed="false">
      <c r="A71" s="26"/>
      <c r="B71" s="21"/>
      <c r="C71" s="26"/>
      <c r="D71" s="26"/>
      <c r="E71" s="21"/>
      <c r="F71" s="21"/>
      <c r="G71" s="26"/>
      <c r="H71" s="21"/>
      <c r="I71" s="26"/>
      <c r="J71" s="22" t="str">
        <f aca="false">IFERROR(VLOOKUP(C71,規格資料庫!$A$2:$E$162,3,FALSE()),"")</f>
        <v/>
      </c>
      <c r="K71" s="23" t="str">
        <f aca="false">IFERROR(VLOOKUP(C71,規格資料庫!$A$2:$E$162,4,FALSE()),"")</f>
        <v/>
      </c>
      <c r="L71" s="24" t="str">
        <f aca="false">IF(J71="","",J71*E71/1000*F71)</f>
        <v/>
      </c>
      <c r="M71" s="25" t="str">
        <f aca="false">IF(OR(C71="",G71="",G71="無"),"",IFERROR(K71*IF(OR(H71="",H71=0),E71,H71)/1000*F71-IF(I71="是",VLOOKUP(C71,規格資料庫!$A$2:$E$162,5,FALSE())/1000*IF(OR(H71="",H71=0),E71,H71)/1000*F71,0),""))</f>
        <v/>
      </c>
      <c r="N71" s="1" t="str">
        <f aca="false">IFERROR(VLOOKUP(C71,規格資料庫!$A$2:$B$162,2,FALSE()),"")</f>
        <v/>
      </c>
    </row>
    <row r="72" customFormat="false" ht="15" hidden="false" customHeight="true" outlineLevel="0" collapsed="false">
      <c r="A72" s="26"/>
      <c r="B72" s="21"/>
      <c r="C72" s="26"/>
      <c r="D72" s="26"/>
      <c r="E72" s="21"/>
      <c r="F72" s="21"/>
      <c r="G72" s="26"/>
      <c r="H72" s="21"/>
      <c r="I72" s="26"/>
      <c r="J72" s="22" t="str">
        <f aca="false">IFERROR(VLOOKUP(C72,規格資料庫!$A$2:$E$162,3,FALSE()),"")</f>
        <v/>
      </c>
      <c r="K72" s="23" t="str">
        <f aca="false">IFERROR(VLOOKUP(C72,規格資料庫!$A$2:$E$162,4,FALSE()),"")</f>
        <v/>
      </c>
      <c r="L72" s="24" t="str">
        <f aca="false">IF(J72="","",J72*E72/1000*F72)</f>
        <v/>
      </c>
      <c r="M72" s="25" t="str">
        <f aca="false">IF(OR(C72="",G72="",G72="無"),"",IFERROR(K72*IF(OR(H72="",H72=0),E72,H72)/1000*F72-IF(I72="是",VLOOKUP(C72,規格資料庫!$A$2:$E$162,5,FALSE())/1000*IF(OR(H72="",H72=0),E72,H72)/1000*F72,0),""))</f>
        <v/>
      </c>
      <c r="N72" s="1" t="str">
        <f aca="false">IFERROR(VLOOKUP(C72,規格資料庫!$A$2:$B$162,2,FALSE()),"")</f>
        <v/>
      </c>
    </row>
    <row r="73" customFormat="false" ht="15" hidden="false" customHeight="true" outlineLevel="0" collapsed="false">
      <c r="A73" s="27" t="s">
        <v>65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8" t="n">
        <f aca="false">SUM(L53:L72)</f>
        <v>1464.858</v>
      </c>
      <c r="M73" s="29" t="n">
        <f aca="false">SUM(M53:M72)</f>
        <v>40.134</v>
      </c>
      <c r="O73" s="30" t="n">
        <f aca="false">SUMIF(G53:G72,"油漆",M53:M72)</f>
        <v>18.954</v>
      </c>
      <c r="P73" s="30" t="n">
        <f aca="false">SUMIF(G53:G72,"防火漆1hr",M53:M72)</f>
        <v>21.18</v>
      </c>
      <c r="Q73" s="30" t="n">
        <f aca="false">SUMIF(G53:G72,"防火漆2hr",M53:M72)</f>
        <v>0</v>
      </c>
      <c r="R73" s="30" t="n">
        <f aca="false">SUMIF(G53:G72,"防火批覆",M53:M72)</f>
        <v>0</v>
      </c>
      <c r="S73" s="31" t="n">
        <f aca="false">SUMPRODUCT((D53:D72="SN400B")*IF(ISNUMBER(L53:L72),L53:L72,0))</f>
        <v>906.858</v>
      </c>
      <c r="T73" s="31" t="n">
        <f aca="false">SUMPRODUCT((D53:D72="A36")*IF(ISNUMBER(L53:L72),L53:L72,0))</f>
        <v>558</v>
      </c>
      <c r="U73" s="31" t="n">
        <f aca="false">SUMPRODUCT((D53:D72="SN490B")*IF(ISNUMBER(L53:L72),L53:L72,0))</f>
        <v>0</v>
      </c>
      <c r="V73" s="31" t="n">
        <f aca="false">SUMPRODUCT((D53:D72="A572 Gr.50")*IF(ISNUMBER(L53:L72),L53:L72,0))</f>
        <v>0</v>
      </c>
      <c r="W73" s="31" t="n">
        <f aca="false">SUMPRODUCT((N53:N72="GR")*IF(ISNUMBER(L53:L72),L53:L72,0))</f>
        <v>0</v>
      </c>
      <c r="X73" s="31" t="n">
        <f aca="false">SUMPRODUCT((N53:N72="CP")*IF(ISNUMBER(L53:L72),L53:L72,0))</f>
        <v>0</v>
      </c>
    </row>
    <row r="75" customFormat="false" ht="18.75" hidden="false" customHeight="true" outlineLevel="0" collapsed="false">
      <c r="A75" s="7" t="s">
        <v>82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</row>
    <row r="76" customFormat="false" ht="43.5" hidden="false" customHeight="true" outlineLevel="0" collapsed="false">
      <c r="A76" s="12" t="s">
        <v>36</v>
      </c>
      <c r="B76" s="12" t="s">
        <v>37</v>
      </c>
      <c r="C76" s="12" t="s">
        <v>38</v>
      </c>
      <c r="D76" s="12" t="s">
        <v>39</v>
      </c>
      <c r="E76" s="12" t="s">
        <v>40</v>
      </c>
      <c r="F76" s="12" t="s">
        <v>41</v>
      </c>
      <c r="G76" s="12" t="s">
        <v>42</v>
      </c>
      <c r="H76" s="12" t="s">
        <v>43</v>
      </c>
      <c r="I76" s="12" t="s">
        <v>44</v>
      </c>
      <c r="J76" s="12" t="s">
        <v>45</v>
      </c>
      <c r="K76" s="12" t="s">
        <v>46</v>
      </c>
      <c r="L76" s="12" t="s">
        <v>47</v>
      </c>
      <c r="M76" s="12" t="s">
        <v>48</v>
      </c>
    </row>
    <row r="77" customFormat="false" ht="15" hidden="false" customHeight="true" outlineLevel="0" collapsed="false">
      <c r="A77" s="26"/>
      <c r="B77" s="21"/>
      <c r="C77" s="26"/>
      <c r="D77" s="26"/>
      <c r="E77" s="21"/>
      <c r="F77" s="21"/>
      <c r="G77" s="26"/>
      <c r="H77" s="21"/>
      <c r="I77" s="26"/>
      <c r="J77" s="22" t="str">
        <f aca="false">IFERROR(VLOOKUP(C77,規格資料庫!$A$2:$E$162,3,FALSE()),"")</f>
        <v/>
      </c>
      <c r="K77" s="23" t="str">
        <f aca="false">IFERROR(VLOOKUP(C77,規格資料庫!$A$2:$E$162,4,FALSE()),"")</f>
        <v/>
      </c>
      <c r="L77" s="24" t="str">
        <f aca="false">IF(J77="","",J77*E77/1000*F77)</f>
        <v/>
      </c>
      <c r="M77" s="25" t="str">
        <f aca="false">IF(OR(C77="",G77="",G77="無"),"",IFERROR(K77*IF(OR(H77="",H77=0),E77,H77)/1000*F77-IF(I77="是",VLOOKUP(C77,規格資料庫!$A$2:$E$162,5,FALSE())/1000*IF(OR(H77="",H77=0),E77,H77)/1000*F77,0),""))</f>
        <v/>
      </c>
      <c r="N77" s="1" t="str">
        <f aca="false">IFERROR(VLOOKUP(C77,規格資料庫!$A$2:$B$162,2,FALSE()),"")</f>
        <v/>
      </c>
    </row>
    <row r="78" customFormat="false" ht="15" hidden="false" customHeight="true" outlineLevel="0" collapsed="false">
      <c r="A78" s="26"/>
      <c r="B78" s="21"/>
      <c r="C78" s="26"/>
      <c r="D78" s="26"/>
      <c r="E78" s="21"/>
      <c r="F78" s="21"/>
      <c r="G78" s="26"/>
      <c r="H78" s="21"/>
      <c r="I78" s="26"/>
      <c r="J78" s="22" t="str">
        <f aca="false">IFERROR(VLOOKUP(C78,規格資料庫!$A$2:$E$162,3,FALSE()),"")</f>
        <v/>
      </c>
      <c r="K78" s="23" t="str">
        <f aca="false">IFERROR(VLOOKUP(C78,規格資料庫!$A$2:$E$162,4,FALSE()),"")</f>
        <v/>
      </c>
      <c r="L78" s="24" t="str">
        <f aca="false">IF(J78="","",J78*E78/1000*F78)</f>
        <v/>
      </c>
      <c r="M78" s="25" t="str">
        <f aca="false">IF(OR(C78="",G78="",G78="無"),"",IFERROR(K78*IF(OR(H78="",H78=0),E78,H78)/1000*F78-IF(I78="是",VLOOKUP(C78,規格資料庫!$A$2:$E$162,5,FALSE())/1000*IF(OR(H78="",H78=0),E78,H78)/1000*F78,0),""))</f>
        <v/>
      </c>
      <c r="N78" s="1" t="str">
        <f aca="false">IFERROR(VLOOKUP(C78,規格資料庫!$A$2:$B$162,2,FALSE()),"")</f>
        <v/>
      </c>
    </row>
    <row r="79" customFormat="false" ht="15" hidden="false" customHeight="true" outlineLevel="0" collapsed="false">
      <c r="A79" s="26"/>
      <c r="B79" s="21"/>
      <c r="C79" s="26"/>
      <c r="D79" s="26"/>
      <c r="E79" s="21"/>
      <c r="F79" s="21"/>
      <c r="G79" s="26"/>
      <c r="H79" s="21"/>
      <c r="I79" s="26"/>
      <c r="J79" s="22" t="str">
        <f aca="false">IFERROR(VLOOKUP(C79,規格資料庫!$A$2:$E$162,3,FALSE()),"")</f>
        <v/>
      </c>
      <c r="K79" s="23" t="str">
        <f aca="false">IFERROR(VLOOKUP(C79,規格資料庫!$A$2:$E$162,4,FALSE()),"")</f>
        <v/>
      </c>
      <c r="L79" s="24" t="str">
        <f aca="false">IF(J79="","",J79*E79/1000*F79)</f>
        <v/>
      </c>
      <c r="M79" s="25" t="str">
        <f aca="false">IF(OR(C79="",G79="",G79="無"),"",IFERROR(K79*IF(OR(H79="",H79=0),E79,H79)/1000*F79-IF(I79="是",VLOOKUP(C79,規格資料庫!$A$2:$E$162,5,FALSE())/1000*IF(OR(H79="",H79=0),E79,H79)/1000*F79,0),""))</f>
        <v/>
      </c>
      <c r="N79" s="1" t="str">
        <f aca="false">IFERROR(VLOOKUP(C79,規格資料庫!$A$2:$B$162,2,FALSE()),"")</f>
        <v/>
      </c>
    </row>
    <row r="80" customFormat="false" ht="15" hidden="false" customHeight="true" outlineLevel="0" collapsed="false">
      <c r="A80" s="26"/>
      <c r="B80" s="21"/>
      <c r="C80" s="26"/>
      <c r="D80" s="26"/>
      <c r="E80" s="21"/>
      <c r="F80" s="21"/>
      <c r="G80" s="26"/>
      <c r="H80" s="21"/>
      <c r="I80" s="26"/>
      <c r="J80" s="22" t="str">
        <f aca="false">IFERROR(VLOOKUP(C80,規格資料庫!$A$2:$E$162,3,FALSE()),"")</f>
        <v/>
      </c>
      <c r="K80" s="23" t="str">
        <f aca="false">IFERROR(VLOOKUP(C80,規格資料庫!$A$2:$E$162,4,FALSE()),"")</f>
        <v/>
      </c>
      <c r="L80" s="24" t="str">
        <f aca="false">IF(J80="","",J80*E80/1000*F80)</f>
        <v/>
      </c>
      <c r="M80" s="25" t="str">
        <f aca="false">IF(OR(C80="",G80="",G80="無"),"",IFERROR(K80*IF(OR(H80="",H80=0),E80,H80)/1000*F80-IF(I80="是",VLOOKUP(C80,規格資料庫!$A$2:$E$162,5,FALSE())/1000*IF(OR(H80="",H80=0),E80,H80)/1000*F80,0),""))</f>
        <v/>
      </c>
      <c r="N80" s="1" t="str">
        <f aca="false">IFERROR(VLOOKUP(C80,規格資料庫!$A$2:$B$162,2,FALSE()),"")</f>
        <v/>
      </c>
    </row>
    <row r="81" customFormat="false" ht="15" hidden="false" customHeight="true" outlineLevel="0" collapsed="false">
      <c r="A81" s="26"/>
      <c r="B81" s="21"/>
      <c r="C81" s="26"/>
      <c r="D81" s="26"/>
      <c r="E81" s="21"/>
      <c r="F81" s="21"/>
      <c r="G81" s="26"/>
      <c r="H81" s="21"/>
      <c r="I81" s="26"/>
      <c r="J81" s="22" t="str">
        <f aca="false">IFERROR(VLOOKUP(C81,規格資料庫!$A$2:$E$162,3,FALSE()),"")</f>
        <v/>
      </c>
      <c r="K81" s="23" t="str">
        <f aca="false">IFERROR(VLOOKUP(C81,規格資料庫!$A$2:$E$162,4,FALSE()),"")</f>
        <v/>
      </c>
      <c r="L81" s="24" t="str">
        <f aca="false">IF(J81="","",J81*E81/1000*F81)</f>
        <v/>
      </c>
      <c r="M81" s="25" t="str">
        <f aca="false">IF(OR(C81="",G81="",G81="無"),"",IFERROR(K81*IF(OR(H81="",H81=0),E81,H81)/1000*F81-IF(I81="是",VLOOKUP(C81,規格資料庫!$A$2:$E$162,5,FALSE())/1000*IF(OR(H81="",H81=0),E81,H81)/1000*F81,0),""))</f>
        <v/>
      </c>
      <c r="N81" s="1" t="str">
        <f aca="false">IFERROR(VLOOKUP(C81,規格資料庫!$A$2:$B$162,2,FALSE()),"")</f>
        <v/>
      </c>
    </row>
    <row r="82" customFormat="false" ht="15" hidden="false" customHeight="true" outlineLevel="0" collapsed="false">
      <c r="A82" s="26"/>
      <c r="B82" s="21"/>
      <c r="C82" s="26"/>
      <c r="D82" s="26"/>
      <c r="E82" s="21"/>
      <c r="F82" s="21"/>
      <c r="G82" s="26"/>
      <c r="H82" s="21"/>
      <c r="I82" s="26"/>
      <c r="J82" s="22" t="str">
        <f aca="false">IFERROR(VLOOKUP(C82,規格資料庫!$A$2:$E$162,3,FALSE()),"")</f>
        <v/>
      </c>
      <c r="K82" s="23" t="str">
        <f aca="false">IFERROR(VLOOKUP(C82,規格資料庫!$A$2:$E$162,4,FALSE()),"")</f>
        <v/>
      </c>
      <c r="L82" s="24" t="str">
        <f aca="false">IF(J82="","",J82*E82/1000*F82)</f>
        <v/>
      </c>
      <c r="M82" s="25" t="str">
        <f aca="false">IF(OR(C82="",G82="",G82="無"),"",IFERROR(K82*IF(OR(H82="",H82=0),E82,H82)/1000*F82-IF(I82="是",VLOOKUP(C82,規格資料庫!$A$2:$E$162,5,FALSE())/1000*IF(OR(H82="",H82=0),E82,H82)/1000*F82,0),""))</f>
        <v/>
      </c>
      <c r="N82" s="1" t="str">
        <f aca="false">IFERROR(VLOOKUP(C82,規格資料庫!$A$2:$B$162,2,FALSE()),"")</f>
        <v/>
      </c>
    </row>
    <row r="83" customFormat="false" ht="15" hidden="false" customHeight="true" outlineLevel="0" collapsed="false">
      <c r="A83" s="26"/>
      <c r="B83" s="21"/>
      <c r="C83" s="26"/>
      <c r="D83" s="26"/>
      <c r="E83" s="21"/>
      <c r="F83" s="21"/>
      <c r="G83" s="26"/>
      <c r="H83" s="21"/>
      <c r="I83" s="26"/>
      <c r="J83" s="22" t="str">
        <f aca="false">IFERROR(VLOOKUP(C83,規格資料庫!$A$2:$E$162,3,FALSE()),"")</f>
        <v/>
      </c>
      <c r="K83" s="23" t="str">
        <f aca="false">IFERROR(VLOOKUP(C83,規格資料庫!$A$2:$E$162,4,FALSE()),"")</f>
        <v/>
      </c>
      <c r="L83" s="24" t="str">
        <f aca="false">IF(J83="","",J83*E83/1000*F83)</f>
        <v/>
      </c>
      <c r="M83" s="25" t="str">
        <f aca="false">IF(OR(C83="",G83="",G83="無"),"",IFERROR(K83*IF(OR(H83="",H83=0),E83,H83)/1000*F83-IF(I83="是",VLOOKUP(C83,規格資料庫!$A$2:$E$162,5,FALSE())/1000*IF(OR(H83="",H83=0),E83,H83)/1000*F83,0),""))</f>
        <v/>
      </c>
      <c r="N83" s="1" t="str">
        <f aca="false">IFERROR(VLOOKUP(C83,規格資料庫!$A$2:$B$162,2,FALSE()),"")</f>
        <v/>
      </c>
    </row>
    <row r="84" customFormat="false" ht="15" hidden="false" customHeight="true" outlineLevel="0" collapsed="false">
      <c r="A84" s="26"/>
      <c r="B84" s="21"/>
      <c r="C84" s="26"/>
      <c r="D84" s="26"/>
      <c r="E84" s="21"/>
      <c r="F84" s="21"/>
      <c r="G84" s="26"/>
      <c r="H84" s="21"/>
      <c r="I84" s="26"/>
      <c r="J84" s="22" t="str">
        <f aca="false">IFERROR(VLOOKUP(C84,規格資料庫!$A$2:$E$162,3,FALSE()),"")</f>
        <v/>
      </c>
      <c r="K84" s="23" t="str">
        <f aca="false">IFERROR(VLOOKUP(C84,規格資料庫!$A$2:$E$162,4,FALSE()),"")</f>
        <v/>
      </c>
      <c r="L84" s="24" t="str">
        <f aca="false">IF(J84="","",J84*E84/1000*F84)</f>
        <v/>
      </c>
      <c r="M84" s="25" t="str">
        <f aca="false">IF(OR(C84="",G84="",G84="無"),"",IFERROR(K84*IF(OR(H84="",H84=0),E84,H84)/1000*F84-IF(I84="是",VLOOKUP(C84,規格資料庫!$A$2:$E$162,5,FALSE())/1000*IF(OR(H84="",H84=0),E84,H84)/1000*F84,0),""))</f>
        <v/>
      </c>
      <c r="N84" s="1" t="str">
        <f aca="false">IFERROR(VLOOKUP(C84,規格資料庫!$A$2:$B$162,2,FALSE()),"")</f>
        <v/>
      </c>
    </row>
    <row r="85" customFormat="false" ht="15" hidden="false" customHeight="true" outlineLevel="0" collapsed="false">
      <c r="A85" s="26"/>
      <c r="B85" s="21"/>
      <c r="C85" s="26"/>
      <c r="D85" s="26"/>
      <c r="E85" s="21"/>
      <c r="F85" s="21"/>
      <c r="G85" s="26"/>
      <c r="H85" s="21"/>
      <c r="I85" s="26"/>
      <c r="J85" s="22" t="str">
        <f aca="false">IFERROR(VLOOKUP(C85,規格資料庫!$A$2:$E$162,3,FALSE()),"")</f>
        <v/>
      </c>
      <c r="K85" s="23" t="str">
        <f aca="false">IFERROR(VLOOKUP(C85,規格資料庫!$A$2:$E$162,4,FALSE()),"")</f>
        <v/>
      </c>
      <c r="L85" s="24" t="str">
        <f aca="false">IF(J85="","",J85*E85/1000*F85)</f>
        <v/>
      </c>
      <c r="M85" s="25" t="str">
        <f aca="false">IF(OR(C85="",G85="",G85="無"),"",IFERROR(K85*IF(OR(H85="",H85=0),E85,H85)/1000*F85-IF(I85="是",VLOOKUP(C85,規格資料庫!$A$2:$E$162,5,FALSE())/1000*IF(OR(H85="",H85=0),E85,H85)/1000*F85,0),""))</f>
        <v/>
      </c>
      <c r="N85" s="1" t="str">
        <f aca="false">IFERROR(VLOOKUP(C85,規格資料庫!$A$2:$B$162,2,FALSE()),"")</f>
        <v/>
      </c>
    </row>
    <row r="86" customFormat="false" ht="15" hidden="false" customHeight="true" outlineLevel="0" collapsed="false">
      <c r="A86" s="26"/>
      <c r="B86" s="21"/>
      <c r="C86" s="26"/>
      <c r="D86" s="26"/>
      <c r="E86" s="21"/>
      <c r="F86" s="21"/>
      <c r="G86" s="26"/>
      <c r="H86" s="21"/>
      <c r="I86" s="26"/>
      <c r="J86" s="22" t="str">
        <f aca="false">IFERROR(VLOOKUP(C86,規格資料庫!$A$2:$E$162,3,FALSE()),"")</f>
        <v/>
      </c>
      <c r="K86" s="23" t="str">
        <f aca="false">IFERROR(VLOOKUP(C86,規格資料庫!$A$2:$E$162,4,FALSE()),"")</f>
        <v/>
      </c>
      <c r="L86" s="24" t="str">
        <f aca="false">IF(J86="","",J86*E86/1000*F86)</f>
        <v/>
      </c>
      <c r="M86" s="25" t="str">
        <f aca="false">IF(OR(C86="",G86="",G86="無"),"",IFERROR(K86*IF(OR(H86="",H86=0),E86,H86)/1000*F86-IF(I86="是",VLOOKUP(C86,規格資料庫!$A$2:$E$162,5,FALSE())/1000*IF(OR(H86="",H86=0),E86,H86)/1000*F86,0),""))</f>
        <v/>
      </c>
      <c r="N86" s="1" t="str">
        <f aca="false">IFERROR(VLOOKUP(C86,規格資料庫!$A$2:$B$162,2,FALSE()),"")</f>
        <v/>
      </c>
    </row>
    <row r="87" customFormat="false" ht="15" hidden="false" customHeight="true" outlineLevel="0" collapsed="false">
      <c r="A87" s="26"/>
      <c r="B87" s="21"/>
      <c r="C87" s="26"/>
      <c r="D87" s="26"/>
      <c r="E87" s="21"/>
      <c r="F87" s="21"/>
      <c r="G87" s="26"/>
      <c r="H87" s="21"/>
      <c r="I87" s="26"/>
      <c r="J87" s="22" t="str">
        <f aca="false">IFERROR(VLOOKUP(C87,規格資料庫!$A$2:$E$162,3,FALSE()),"")</f>
        <v/>
      </c>
      <c r="K87" s="23" t="str">
        <f aca="false">IFERROR(VLOOKUP(C87,規格資料庫!$A$2:$E$162,4,FALSE()),"")</f>
        <v/>
      </c>
      <c r="L87" s="24" t="str">
        <f aca="false">IF(J87="","",J87*E87/1000*F87)</f>
        <v/>
      </c>
      <c r="M87" s="25" t="str">
        <f aca="false">IF(OR(C87="",G87="",G87="無"),"",IFERROR(K87*IF(OR(H87="",H87=0),E87,H87)/1000*F87-IF(I87="是",VLOOKUP(C87,規格資料庫!$A$2:$E$162,5,FALSE())/1000*IF(OR(H87="",H87=0),E87,H87)/1000*F87,0),""))</f>
        <v/>
      </c>
      <c r="N87" s="1" t="str">
        <f aca="false">IFERROR(VLOOKUP(C87,規格資料庫!$A$2:$B$162,2,FALSE()),"")</f>
        <v/>
      </c>
    </row>
    <row r="88" customFormat="false" ht="15" hidden="false" customHeight="true" outlineLevel="0" collapsed="false">
      <c r="A88" s="26"/>
      <c r="B88" s="21"/>
      <c r="C88" s="26"/>
      <c r="D88" s="26"/>
      <c r="E88" s="21"/>
      <c r="F88" s="21"/>
      <c r="G88" s="26"/>
      <c r="H88" s="21"/>
      <c r="I88" s="26"/>
      <c r="J88" s="22" t="str">
        <f aca="false">IFERROR(VLOOKUP(C88,規格資料庫!$A$2:$E$162,3,FALSE()),"")</f>
        <v/>
      </c>
      <c r="K88" s="23" t="str">
        <f aca="false">IFERROR(VLOOKUP(C88,規格資料庫!$A$2:$E$162,4,FALSE()),"")</f>
        <v/>
      </c>
      <c r="L88" s="24" t="str">
        <f aca="false">IF(J88="","",J88*E88/1000*F88)</f>
        <v/>
      </c>
      <c r="M88" s="25" t="str">
        <f aca="false">IF(OR(C88="",G88="",G88="無"),"",IFERROR(K88*IF(OR(H88="",H88=0),E88,H88)/1000*F88-IF(I88="是",VLOOKUP(C88,規格資料庫!$A$2:$E$162,5,FALSE())/1000*IF(OR(H88="",H88=0),E88,H88)/1000*F88,0),""))</f>
        <v/>
      </c>
      <c r="N88" s="1" t="str">
        <f aca="false">IFERROR(VLOOKUP(C88,規格資料庫!$A$2:$B$162,2,FALSE()),"")</f>
        <v/>
      </c>
    </row>
    <row r="89" customFormat="false" ht="15" hidden="false" customHeight="true" outlineLevel="0" collapsed="false">
      <c r="A89" s="26"/>
      <c r="B89" s="21"/>
      <c r="C89" s="26"/>
      <c r="D89" s="26"/>
      <c r="E89" s="21"/>
      <c r="F89" s="21"/>
      <c r="G89" s="26"/>
      <c r="H89" s="21"/>
      <c r="I89" s="26"/>
      <c r="J89" s="22" t="str">
        <f aca="false">IFERROR(VLOOKUP(C89,規格資料庫!$A$2:$E$162,3,FALSE()),"")</f>
        <v/>
      </c>
      <c r="K89" s="23" t="str">
        <f aca="false">IFERROR(VLOOKUP(C89,規格資料庫!$A$2:$E$162,4,FALSE()),"")</f>
        <v/>
      </c>
      <c r="L89" s="24" t="str">
        <f aca="false">IF(J89="","",J89*E89/1000*F89)</f>
        <v/>
      </c>
      <c r="M89" s="25" t="str">
        <f aca="false">IF(OR(C89="",G89="",G89="無"),"",IFERROR(K89*IF(OR(H89="",H89=0),E89,H89)/1000*F89-IF(I89="是",VLOOKUP(C89,規格資料庫!$A$2:$E$162,5,FALSE())/1000*IF(OR(H89="",H89=0),E89,H89)/1000*F89,0),""))</f>
        <v/>
      </c>
      <c r="N89" s="1" t="str">
        <f aca="false">IFERROR(VLOOKUP(C89,規格資料庫!$A$2:$B$162,2,FALSE()),"")</f>
        <v/>
      </c>
    </row>
    <row r="90" customFormat="false" ht="15" hidden="false" customHeight="true" outlineLevel="0" collapsed="false">
      <c r="A90" s="26"/>
      <c r="B90" s="21"/>
      <c r="C90" s="26"/>
      <c r="D90" s="26"/>
      <c r="E90" s="21"/>
      <c r="F90" s="21"/>
      <c r="G90" s="26"/>
      <c r="H90" s="21"/>
      <c r="I90" s="26"/>
      <c r="J90" s="22" t="str">
        <f aca="false">IFERROR(VLOOKUP(C90,規格資料庫!$A$2:$E$162,3,FALSE()),"")</f>
        <v/>
      </c>
      <c r="K90" s="23" t="str">
        <f aca="false">IFERROR(VLOOKUP(C90,規格資料庫!$A$2:$E$162,4,FALSE()),"")</f>
        <v/>
      </c>
      <c r="L90" s="24" t="str">
        <f aca="false">IF(J90="","",J90*E90/1000*F90)</f>
        <v/>
      </c>
      <c r="M90" s="25" t="str">
        <f aca="false">IF(OR(C90="",G90="",G90="無"),"",IFERROR(K90*IF(OR(H90="",H90=0),E90,H90)/1000*F90-IF(I90="是",VLOOKUP(C90,規格資料庫!$A$2:$E$162,5,FALSE())/1000*IF(OR(H90="",H90=0),E90,H90)/1000*F90,0),""))</f>
        <v/>
      </c>
      <c r="N90" s="1" t="str">
        <f aca="false">IFERROR(VLOOKUP(C90,規格資料庫!$A$2:$B$162,2,FALSE()),"")</f>
        <v/>
      </c>
    </row>
    <row r="91" customFormat="false" ht="15" hidden="false" customHeight="true" outlineLevel="0" collapsed="false">
      <c r="A91" s="26"/>
      <c r="B91" s="21"/>
      <c r="C91" s="26"/>
      <c r="D91" s="26"/>
      <c r="E91" s="21"/>
      <c r="F91" s="21"/>
      <c r="G91" s="26"/>
      <c r="H91" s="21"/>
      <c r="I91" s="26"/>
      <c r="J91" s="22" t="str">
        <f aca="false">IFERROR(VLOOKUP(C91,規格資料庫!$A$2:$E$162,3,FALSE()),"")</f>
        <v/>
      </c>
      <c r="K91" s="23" t="str">
        <f aca="false">IFERROR(VLOOKUP(C91,規格資料庫!$A$2:$E$162,4,FALSE()),"")</f>
        <v/>
      </c>
      <c r="L91" s="24" t="str">
        <f aca="false">IF(J91="","",J91*E91/1000*F91)</f>
        <v/>
      </c>
      <c r="M91" s="25" t="str">
        <f aca="false">IF(OR(C91="",G91="",G91="無"),"",IFERROR(K91*IF(OR(H91="",H91=0),E91,H91)/1000*F91-IF(I91="是",VLOOKUP(C91,規格資料庫!$A$2:$E$162,5,FALSE())/1000*IF(OR(H91="",H91=0),E91,H91)/1000*F91,0),""))</f>
        <v/>
      </c>
      <c r="N91" s="1" t="str">
        <f aca="false">IFERROR(VLOOKUP(C91,規格資料庫!$A$2:$B$162,2,FALSE()),"")</f>
        <v/>
      </c>
    </row>
    <row r="92" customFormat="false" ht="15" hidden="false" customHeight="true" outlineLevel="0" collapsed="false">
      <c r="A92" s="26"/>
      <c r="B92" s="21"/>
      <c r="C92" s="26"/>
      <c r="D92" s="26"/>
      <c r="E92" s="21"/>
      <c r="F92" s="21"/>
      <c r="G92" s="26"/>
      <c r="H92" s="21"/>
      <c r="I92" s="26"/>
      <c r="J92" s="22" t="str">
        <f aca="false">IFERROR(VLOOKUP(C92,規格資料庫!$A$2:$E$162,3,FALSE()),"")</f>
        <v/>
      </c>
      <c r="K92" s="23" t="str">
        <f aca="false">IFERROR(VLOOKUP(C92,規格資料庫!$A$2:$E$162,4,FALSE()),"")</f>
        <v/>
      </c>
      <c r="L92" s="24" t="str">
        <f aca="false">IF(J92="","",J92*E92/1000*F92)</f>
        <v/>
      </c>
      <c r="M92" s="25" t="str">
        <f aca="false">IF(OR(C92="",G92="",G92="無"),"",IFERROR(K92*IF(OR(H92="",H92=0),E92,H92)/1000*F92-IF(I92="是",VLOOKUP(C92,規格資料庫!$A$2:$E$162,5,FALSE())/1000*IF(OR(H92="",H92=0),E92,H92)/1000*F92,0),""))</f>
        <v/>
      </c>
      <c r="N92" s="1" t="str">
        <f aca="false">IFERROR(VLOOKUP(C92,規格資料庫!$A$2:$B$162,2,FALSE()),"")</f>
        <v/>
      </c>
    </row>
    <row r="93" customFormat="false" ht="15" hidden="false" customHeight="true" outlineLevel="0" collapsed="false">
      <c r="A93" s="26"/>
      <c r="B93" s="21"/>
      <c r="C93" s="26"/>
      <c r="D93" s="26"/>
      <c r="E93" s="21"/>
      <c r="F93" s="21"/>
      <c r="G93" s="26"/>
      <c r="H93" s="21"/>
      <c r="I93" s="26"/>
      <c r="J93" s="22" t="str">
        <f aca="false">IFERROR(VLOOKUP(C93,規格資料庫!$A$2:$E$162,3,FALSE()),"")</f>
        <v/>
      </c>
      <c r="K93" s="23" t="str">
        <f aca="false">IFERROR(VLOOKUP(C93,規格資料庫!$A$2:$E$162,4,FALSE()),"")</f>
        <v/>
      </c>
      <c r="L93" s="24" t="str">
        <f aca="false">IF(J93="","",J93*E93/1000*F93)</f>
        <v/>
      </c>
      <c r="M93" s="25" t="str">
        <f aca="false">IF(OR(C93="",G93="",G93="無"),"",IFERROR(K93*IF(OR(H93="",H93=0),E93,H93)/1000*F93-IF(I93="是",VLOOKUP(C93,規格資料庫!$A$2:$E$162,5,FALSE())/1000*IF(OR(H93="",H93=0),E93,H93)/1000*F93,0),""))</f>
        <v/>
      </c>
      <c r="N93" s="1" t="str">
        <f aca="false">IFERROR(VLOOKUP(C93,規格資料庫!$A$2:$B$162,2,FALSE()),"")</f>
        <v/>
      </c>
    </row>
    <row r="94" customFormat="false" ht="15" hidden="false" customHeight="true" outlineLevel="0" collapsed="false">
      <c r="A94" s="26"/>
      <c r="B94" s="21"/>
      <c r="C94" s="26"/>
      <c r="D94" s="26"/>
      <c r="E94" s="21"/>
      <c r="F94" s="21"/>
      <c r="G94" s="26"/>
      <c r="H94" s="21"/>
      <c r="I94" s="26"/>
      <c r="J94" s="22" t="str">
        <f aca="false">IFERROR(VLOOKUP(C94,規格資料庫!$A$2:$E$162,3,FALSE()),"")</f>
        <v/>
      </c>
      <c r="K94" s="23" t="str">
        <f aca="false">IFERROR(VLOOKUP(C94,規格資料庫!$A$2:$E$162,4,FALSE()),"")</f>
        <v/>
      </c>
      <c r="L94" s="24" t="str">
        <f aca="false">IF(J94="","",J94*E94/1000*F94)</f>
        <v/>
      </c>
      <c r="M94" s="25" t="str">
        <f aca="false">IF(OR(C94="",G94="",G94="無"),"",IFERROR(K94*IF(OR(H94="",H94=0),E94,H94)/1000*F94-IF(I94="是",VLOOKUP(C94,規格資料庫!$A$2:$E$162,5,FALSE())/1000*IF(OR(H94="",H94=0),E94,H94)/1000*F94,0),""))</f>
        <v/>
      </c>
      <c r="N94" s="1" t="str">
        <f aca="false">IFERROR(VLOOKUP(C94,規格資料庫!$A$2:$B$162,2,FALSE()),"")</f>
        <v/>
      </c>
    </row>
    <row r="95" customFormat="false" ht="15" hidden="false" customHeight="true" outlineLevel="0" collapsed="false">
      <c r="A95" s="26"/>
      <c r="B95" s="21"/>
      <c r="C95" s="26"/>
      <c r="D95" s="26"/>
      <c r="E95" s="21"/>
      <c r="F95" s="21"/>
      <c r="G95" s="26"/>
      <c r="H95" s="21"/>
      <c r="I95" s="26"/>
      <c r="J95" s="22" t="str">
        <f aca="false">IFERROR(VLOOKUP(C95,規格資料庫!$A$2:$E$162,3,FALSE()),"")</f>
        <v/>
      </c>
      <c r="K95" s="23" t="str">
        <f aca="false">IFERROR(VLOOKUP(C95,規格資料庫!$A$2:$E$162,4,FALSE()),"")</f>
        <v/>
      </c>
      <c r="L95" s="24" t="str">
        <f aca="false">IF(J95="","",J95*E95/1000*F95)</f>
        <v/>
      </c>
      <c r="M95" s="25" t="str">
        <f aca="false">IF(OR(C95="",G95="",G95="無"),"",IFERROR(K95*IF(OR(H95="",H95=0),E95,H95)/1000*F95-IF(I95="是",VLOOKUP(C95,規格資料庫!$A$2:$E$162,5,FALSE())/1000*IF(OR(H95="",H95=0),E95,H95)/1000*F95,0),""))</f>
        <v/>
      </c>
      <c r="N95" s="1" t="str">
        <f aca="false">IFERROR(VLOOKUP(C95,規格資料庫!$A$2:$B$162,2,FALSE()),"")</f>
        <v/>
      </c>
    </row>
    <row r="96" customFormat="false" ht="15" hidden="false" customHeight="true" outlineLevel="0" collapsed="false">
      <c r="A96" s="26"/>
      <c r="B96" s="21"/>
      <c r="C96" s="26"/>
      <c r="D96" s="26"/>
      <c r="E96" s="21"/>
      <c r="F96" s="21"/>
      <c r="G96" s="26"/>
      <c r="H96" s="21"/>
      <c r="I96" s="26"/>
      <c r="J96" s="22" t="str">
        <f aca="false">IFERROR(VLOOKUP(C96,規格資料庫!$A$2:$E$162,3,FALSE()),"")</f>
        <v/>
      </c>
      <c r="K96" s="23" t="str">
        <f aca="false">IFERROR(VLOOKUP(C96,規格資料庫!$A$2:$E$162,4,FALSE()),"")</f>
        <v/>
      </c>
      <c r="L96" s="24" t="str">
        <f aca="false">IF(J96="","",J96*E96/1000*F96)</f>
        <v/>
      </c>
      <c r="M96" s="25" t="str">
        <f aca="false">IF(OR(C96="",G96="",G96="無"),"",IFERROR(K96*IF(OR(H96="",H96=0),E96,H96)/1000*F96-IF(I96="是",VLOOKUP(C96,規格資料庫!$A$2:$E$162,5,FALSE())/1000*IF(OR(H96="",H96=0),E96,H96)/1000*F96,0),""))</f>
        <v/>
      </c>
      <c r="N96" s="1" t="str">
        <f aca="false">IFERROR(VLOOKUP(C96,規格資料庫!$A$2:$B$162,2,FALSE()),"")</f>
        <v/>
      </c>
    </row>
    <row r="97" customFormat="false" ht="15" hidden="false" customHeight="true" outlineLevel="0" collapsed="false">
      <c r="A97" s="27" t="s">
        <v>65</v>
      </c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8" t="n">
        <f aca="false">SUM(L77:L96)</f>
        <v>0</v>
      </c>
      <c r="M97" s="29" t="n">
        <f aca="false">SUM(M77:M96)</f>
        <v>0</v>
      </c>
      <c r="O97" s="30" t="n">
        <f aca="false">SUMIF(G77:G96,"油漆",M77:M96)</f>
        <v>0</v>
      </c>
      <c r="P97" s="30" t="n">
        <f aca="false">SUMIF(G77:G96,"防火漆1hr",M77:M96)</f>
        <v>0</v>
      </c>
      <c r="Q97" s="30" t="n">
        <f aca="false">SUMIF(G77:G96,"防火漆2hr",M77:M96)</f>
        <v>0</v>
      </c>
      <c r="R97" s="30" t="n">
        <f aca="false">SUMIF(G77:G96,"防火批覆",M77:M96)</f>
        <v>0</v>
      </c>
      <c r="S97" s="31" t="n">
        <f aca="false">SUMPRODUCT((D77:D96="SN400B")*IF(ISNUMBER(L77:L96),L77:L96,0))</f>
        <v>0</v>
      </c>
      <c r="T97" s="31" t="n">
        <f aca="false">SUMPRODUCT((D77:D96="A36")*IF(ISNUMBER(L77:L96),L77:L96,0))</f>
        <v>0</v>
      </c>
      <c r="U97" s="31" t="n">
        <f aca="false">SUMPRODUCT((D77:D96="SN490B")*IF(ISNUMBER(L77:L96),L77:L96,0))</f>
        <v>0</v>
      </c>
      <c r="V97" s="31" t="n">
        <f aca="false">SUMPRODUCT((D77:D96="A572 Gr.50")*IF(ISNUMBER(L77:L96),L77:L96,0))</f>
        <v>0</v>
      </c>
      <c r="W97" s="31" t="n">
        <f aca="false">SUMPRODUCT((N77:N96="GR")*IF(ISNUMBER(L77:L96),L77:L96,0))</f>
        <v>0</v>
      </c>
      <c r="X97" s="31" t="n">
        <f aca="false">SUMPRODUCT((N77:N96="CP")*IF(ISNUMBER(L77:L96),L77:L96,0))</f>
        <v>0</v>
      </c>
    </row>
    <row r="99" customFormat="false" ht="18.75" hidden="false" customHeight="true" outlineLevel="0" collapsed="false">
      <c r="A99" s="7" t="s">
        <v>83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 customFormat="false" ht="43.5" hidden="false" customHeight="true" outlineLevel="0" collapsed="false">
      <c r="A100" s="12" t="s">
        <v>36</v>
      </c>
      <c r="B100" s="12" t="s">
        <v>37</v>
      </c>
      <c r="C100" s="12" t="s">
        <v>38</v>
      </c>
      <c r="D100" s="12" t="s">
        <v>39</v>
      </c>
      <c r="E100" s="12" t="s">
        <v>40</v>
      </c>
      <c r="F100" s="12" t="s">
        <v>41</v>
      </c>
      <c r="G100" s="12" t="s">
        <v>42</v>
      </c>
      <c r="H100" s="12" t="s">
        <v>43</v>
      </c>
      <c r="I100" s="12" t="s">
        <v>44</v>
      </c>
      <c r="J100" s="12" t="s">
        <v>45</v>
      </c>
      <c r="K100" s="12" t="s">
        <v>46</v>
      </c>
      <c r="L100" s="12" t="s">
        <v>47</v>
      </c>
      <c r="M100" s="12" t="s">
        <v>48</v>
      </c>
    </row>
    <row r="101" customFormat="false" ht="15" hidden="false" customHeight="true" outlineLevel="0" collapsed="false">
      <c r="A101" s="26"/>
      <c r="B101" s="21"/>
      <c r="C101" s="26"/>
      <c r="D101" s="26"/>
      <c r="E101" s="21"/>
      <c r="F101" s="21"/>
      <c r="G101" s="26"/>
      <c r="H101" s="21"/>
      <c r="I101" s="26"/>
      <c r="J101" s="22" t="str">
        <f aca="false">IFERROR(VLOOKUP(C101,規格資料庫!$A$2:$E$162,3,FALSE()),"")</f>
        <v/>
      </c>
      <c r="K101" s="23" t="str">
        <f aca="false">IFERROR(VLOOKUP(C101,規格資料庫!$A$2:$E$162,4,FALSE()),"")</f>
        <v/>
      </c>
      <c r="L101" s="24" t="str">
        <f aca="false">IF(J101="","",J101*E101/1000*F101)</f>
        <v/>
      </c>
      <c r="M101" s="25" t="str">
        <f aca="false">IF(OR(C101="",G101="",G101="無"),"",IFERROR(K101*IF(OR(H101="",H101=0),E101,H101)/1000*F101-IF(I101="是",VLOOKUP(C101,規格資料庫!$A$2:$E$162,5,FALSE())/1000*IF(OR(H101="",H101=0),E101,H101)/1000*F101,0),""))</f>
        <v/>
      </c>
      <c r="N101" s="1" t="str">
        <f aca="false">IFERROR(VLOOKUP(C101,規格資料庫!$A$2:$B$162,2,FALSE()),"")</f>
        <v/>
      </c>
    </row>
    <row r="102" customFormat="false" ht="15" hidden="false" customHeight="true" outlineLevel="0" collapsed="false">
      <c r="A102" s="26"/>
      <c r="B102" s="21"/>
      <c r="C102" s="26"/>
      <c r="D102" s="26"/>
      <c r="E102" s="21"/>
      <c r="F102" s="21"/>
      <c r="G102" s="26"/>
      <c r="H102" s="21"/>
      <c r="I102" s="26"/>
      <c r="J102" s="22" t="str">
        <f aca="false">IFERROR(VLOOKUP(C102,規格資料庫!$A$2:$E$162,3,FALSE()),"")</f>
        <v/>
      </c>
      <c r="K102" s="23" t="str">
        <f aca="false">IFERROR(VLOOKUP(C102,規格資料庫!$A$2:$E$162,4,FALSE()),"")</f>
        <v/>
      </c>
      <c r="L102" s="24" t="str">
        <f aca="false">IF(J102="","",J102*E102/1000*F102)</f>
        <v/>
      </c>
      <c r="M102" s="25" t="str">
        <f aca="false">IF(OR(C102="",G102="",G102="無"),"",IFERROR(K102*IF(OR(H102="",H102=0),E102,H102)/1000*F102-IF(I102="是",VLOOKUP(C102,規格資料庫!$A$2:$E$162,5,FALSE())/1000*IF(OR(H102="",H102=0),E102,H102)/1000*F102,0),""))</f>
        <v/>
      </c>
      <c r="N102" s="1" t="str">
        <f aca="false">IFERROR(VLOOKUP(C102,規格資料庫!$A$2:$B$162,2,FALSE()),"")</f>
        <v/>
      </c>
    </row>
    <row r="103" customFormat="false" ht="15" hidden="false" customHeight="true" outlineLevel="0" collapsed="false">
      <c r="A103" s="26"/>
      <c r="B103" s="21"/>
      <c r="C103" s="26"/>
      <c r="D103" s="26"/>
      <c r="E103" s="21"/>
      <c r="F103" s="21"/>
      <c r="G103" s="26"/>
      <c r="H103" s="21"/>
      <c r="I103" s="26"/>
      <c r="J103" s="22" t="str">
        <f aca="false">IFERROR(VLOOKUP(C103,規格資料庫!$A$2:$E$162,3,FALSE()),"")</f>
        <v/>
      </c>
      <c r="K103" s="23" t="str">
        <f aca="false">IFERROR(VLOOKUP(C103,規格資料庫!$A$2:$E$162,4,FALSE()),"")</f>
        <v/>
      </c>
      <c r="L103" s="24" t="str">
        <f aca="false">IF(J103="","",J103*E103/1000*F103)</f>
        <v/>
      </c>
      <c r="M103" s="25" t="str">
        <f aca="false">IF(OR(C103="",G103="",G103="無"),"",IFERROR(K103*IF(OR(H103="",H103=0),E103,H103)/1000*F103-IF(I103="是",VLOOKUP(C103,規格資料庫!$A$2:$E$162,5,FALSE())/1000*IF(OR(H103="",H103=0),E103,H103)/1000*F103,0),""))</f>
        <v/>
      </c>
      <c r="N103" s="1" t="str">
        <f aca="false">IFERROR(VLOOKUP(C103,規格資料庫!$A$2:$B$162,2,FALSE()),"")</f>
        <v/>
      </c>
    </row>
    <row r="104" customFormat="false" ht="15" hidden="false" customHeight="true" outlineLevel="0" collapsed="false">
      <c r="A104" s="26"/>
      <c r="B104" s="21"/>
      <c r="C104" s="26"/>
      <c r="D104" s="26"/>
      <c r="E104" s="21"/>
      <c r="F104" s="21"/>
      <c r="G104" s="26"/>
      <c r="H104" s="21"/>
      <c r="I104" s="26"/>
      <c r="J104" s="22" t="str">
        <f aca="false">IFERROR(VLOOKUP(C104,規格資料庫!$A$2:$E$162,3,FALSE()),"")</f>
        <v/>
      </c>
      <c r="K104" s="23" t="str">
        <f aca="false">IFERROR(VLOOKUP(C104,規格資料庫!$A$2:$E$162,4,FALSE()),"")</f>
        <v/>
      </c>
      <c r="L104" s="24" t="str">
        <f aca="false">IF(J104="","",J104*E104/1000*F104)</f>
        <v/>
      </c>
      <c r="M104" s="25" t="str">
        <f aca="false">IF(OR(C104="",G104="",G104="無"),"",IFERROR(K104*IF(OR(H104="",H104=0),E104,H104)/1000*F104-IF(I104="是",VLOOKUP(C104,規格資料庫!$A$2:$E$162,5,FALSE())/1000*IF(OR(H104="",H104=0),E104,H104)/1000*F104,0),""))</f>
        <v/>
      </c>
      <c r="N104" s="1" t="str">
        <f aca="false">IFERROR(VLOOKUP(C104,規格資料庫!$A$2:$B$162,2,FALSE()),"")</f>
        <v/>
      </c>
    </row>
    <row r="105" customFormat="false" ht="15" hidden="false" customHeight="true" outlineLevel="0" collapsed="false">
      <c r="A105" s="26"/>
      <c r="B105" s="21"/>
      <c r="C105" s="26"/>
      <c r="D105" s="26"/>
      <c r="E105" s="21"/>
      <c r="F105" s="21"/>
      <c r="G105" s="26"/>
      <c r="H105" s="21"/>
      <c r="I105" s="26"/>
      <c r="J105" s="22" t="str">
        <f aca="false">IFERROR(VLOOKUP(C105,規格資料庫!$A$2:$E$162,3,FALSE()),"")</f>
        <v/>
      </c>
      <c r="K105" s="23" t="str">
        <f aca="false">IFERROR(VLOOKUP(C105,規格資料庫!$A$2:$E$162,4,FALSE()),"")</f>
        <v/>
      </c>
      <c r="L105" s="24" t="str">
        <f aca="false">IF(J105="","",J105*E105/1000*F105)</f>
        <v/>
      </c>
      <c r="M105" s="25" t="str">
        <f aca="false">IF(OR(C105="",G105="",G105="無"),"",IFERROR(K105*IF(OR(H105="",H105=0),E105,H105)/1000*F105-IF(I105="是",VLOOKUP(C105,規格資料庫!$A$2:$E$162,5,FALSE())/1000*IF(OR(H105="",H105=0),E105,H105)/1000*F105,0),""))</f>
        <v/>
      </c>
      <c r="N105" s="1" t="str">
        <f aca="false">IFERROR(VLOOKUP(C105,規格資料庫!$A$2:$B$162,2,FALSE()),"")</f>
        <v/>
      </c>
    </row>
    <row r="106" customFormat="false" ht="15" hidden="false" customHeight="true" outlineLevel="0" collapsed="false">
      <c r="A106" s="26"/>
      <c r="B106" s="21"/>
      <c r="C106" s="26"/>
      <c r="D106" s="26"/>
      <c r="E106" s="21"/>
      <c r="F106" s="21"/>
      <c r="G106" s="26"/>
      <c r="H106" s="21"/>
      <c r="I106" s="26"/>
      <c r="J106" s="22" t="str">
        <f aca="false">IFERROR(VLOOKUP(C106,規格資料庫!$A$2:$E$162,3,FALSE()),"")</f>
        <v/>
      </c>
      <c r="K106" s="23" t="str">
        <f aca="false">IFERROR(VLOOKUP(C106,規格資料庫!$A$2:$E$162,4,FALSE()),"")</f>
        <v/>
      </c>
      <c r="L106" s="24" t="str">
        <f aca="false">IF(J106="","",J106*E106/1000*F106)</f>
        <v/>
      </c>
      <c r="M106" s="25" t="str">
        <f aca="false">IF(OR(C106="",G106="",G106="無"),"",IFERROR(K106*IF(OR(H106="",H106=0),E106,H106)/1000*F106-IF(I106="是",VLOOKUP(C106,規格資料庫!$A$2:$E$162,5,FALSE())/1000*IF(OR(H106="",H106=0),E106,H106)/1000*F106,0),""))</f>
        <v/>
      </c>
      <c r="N106" s="1" t="str">
        <f aca="false">IFERROR(VLOOKUP(C106,規格資料庫!$A$2:$B$162,2,FALSE()),"")</f>
        <v/>
      </c>
    </row>
    <row r="107" customFormat="false" ht="15" hidden="false" customHeight="true" outlineLevel="0" collapsed="false">
      <c r="A107" s="26"/>
      <c r="B107" s="21"/>
      <c r="C107" s="26"/>
      <c r="D107" s="26"/>
      <c r="E107" s="21"/>
      <c r="F107" s="21"/>
      <c r="G107" s="26"/>
      <c r="H107" s="21"/>
      <c r="I107" s="26"/>
      <c r="J107" s="22" t="str">
        <f aca="false">IFERROR(VLOOKUP(C107,規格資料庫!$A$2:$E$162,3,FALSE()),"")</f>
        <v/>
      </c>
      <c r="K107" s="23" t="str">
        <f aca="false">IFERROR(VLOOKUP(C107,規格資料庫!$A$2:$E$162,4,FALSE()),"")</f>
        <v/>
      </c>
      <c r="L107" s="24" t="str">
        <f aca="false">IF(J107="","",J107*E107/1000*F107)</f>
        <v/>
      </c>
      <c r="M107" s="25" t="str">
        <f aca="false">IF(OR(C107="",G107="",G107="無"),"",IFERROR(K107*IF(OR(H107="",H107=0),E107,H107)/1000*F107-IF(I107="是",VLOOKUP(C107,規格資料庫!$A$2:$E$162,5,FALSE())/1000*IF(OR(H107="",H107=0),E107,H107)/1000*F107,0),""))</f>
        <v/>
      </c>
      <c r="N107" s="1" t="str">
        <f aca="false">IFERROR(VLOOKUP(C107,規格資料庫!$A$2:$B$162,2,FALSE()),"")</f>
        <v/>
      </c>
    </row>
    <row r="108" customFormat="false" ht="15" hidden="false" customHeight="true" outlineLevel="0" collapsed="false">
      <c r="A108" s="26"/>
      <c r="B108" s="21"/>
      <c r="C108" s="26"/>
      <c r="D108" s="26"/>
      <c r="E108" s="21"/>
      <c r="F108" s="21"/>
      <c r="G108" s="26"/>
      <c r="H108" s="21"/>
      <c r="I108" s="26"/>
      <c r="J108" s="22" t="str">
        <f aca="false">IFERROR(VLOOKUP(C108,規格資料庫!$A$2:$E$162,3,FALSE()),"")</f>
        <v/>
      </c>
      <c r="K108" s="23" t="str">
        <f aca="false">IFERROR(VLOOKUP(C108,規格資料庫!$A$2:$E$162,4,FALSE()),"")</f>
        <v/>
      </c>
      <c r="L108" s="24" t="str">
        <f aca="false">IF(J108="","",J108*E108/1000*F108)</f>
        <v/>
      </c>
      <c r="M108" s="25" t="str">
        <f aca="false">IF(OR(C108="",G108="",G108="無"),"",IFERROR(K108*IF(OR(H108="",H108=0),E108,H108)/1000*F108-IF(I108="是",VLOOKUP(C108,規格資料庫!$A$2:$E$162,5,FALSE())/1000*IF(OR(H108="",H108=0),E108,H108)/1000*F108,0),""))</f>
        <v/>
      </c>
      <c r="N108" s="1" t="str">
        <f aca="false">IFERROR(VLOOKUP(C108,規格資料庫!$A$2:$B$162,2,FALSE()),"")</f>
        <v/>
      </c>
    </row>
    <row r="109" customFormat="false" ht="15" hidden="false" customHeight="true" outlineLevel="0" collapsed="false">
      <c r="A109" s="26"/>
      <c r="B109" s="21"/>
      <c r="C109" s="26"/>
      <c r="D109" s="26"/>
      <c r="E109" s="21"/>
      <c r="F109" s="21"/>
      <c r="G109" s="26"/>
      <c r="H109" s="21"/>
      <c r="I109" s="26"/>
      <c r="J109" s="22" t="str">
        <f aca="false">IFERROR(VLOOKUP(C109,規格資料庫!$A$2:$E$162,3,FALSE()),"")</f>
        <v/>
      </c>
      <c r="K109" s="23" t="str">
        <f aca="false">IFERROR(VLOOKUP(C109,規格資料庫!$A$2:$E$162,4,FALSE()),"")</f>
        <v/>
      </c>
      <c r="L109" s="24" t="str">
        <f aca="false">IF(J109="","",J109*E109/1000*F109)</f>
        <v/>
      </c>
      <c r="M109" s="25" t="str">
        <f aca="false">IF(OR(C109="",G109="",G109="無"),"",IFERROR(K109*IF(OR(H109="",H109=0),E109,H109)/1000*F109-IF(I109="是",VLOOKUP(C109,規格資料庫!$A$2:$E$162,5,FALSE())/1000*IF(OR(H109="",H109=0),E109,H109)/1000*F109,0),""))</f>
        <v/>
      </c>
      <c r="N109" s="1" t="str">
        <f aca="false">IFERROR(VLOOKUP(C109,規格資料庫!$A$2:$B$162,2,FALSE()),"")</f>
        <v/>
      </c>
    </row>
    <row r="110" customFormat="false" ht="15" hidden="false" customHeight="true" outlineLevel="0" collapsed="false">
      <c r="A110" s="26"/>
      <c r="B110" s="21"/>
      <c r="C110" s="26"/>
      <c r="D110" s="26"/>
      <c r="E110" s="21"/>
      <c r="F110" s="21"/>
      <c r="G110" s="26"/>
      <c r="H110" s="21"/>
      <c r="I110" s="26"/>
      <c r="J110" s="22" t="str">
        <f aca="false">IFERROR(VLOOKUP(C110,規格資料庫!$A$2:$E$162,3,FALSE()),"")</f>
        <v/>
      </c>
      <c r="K110" s="23" t="str">
        <f aca="false">IFERROR(VLOOKUP(C110,規格資料庫!$A$2:$E$162,4,FALSE()),"")</f>
        <v/>
      </c>
      <c r="L110" s="24" t="str">
        <f aca="false">IF(J110="","",J110*E110/1000*F110)</f>
        <v/>
      </c>
      <c r="M110" s="25" t="str">
        <f aca="false">IF(OR(C110="",G110="",G110="無"),"",IFERROR(K110*IF(OR(H110="",H110=0),E110,H110)/1000*F110-IF(I110="是",VLOOKUP(C110,規格資料庫!$A$2:$E$162,5,FALSE())/1000*IF(OR(H110="",H110=0),E110,H110)/1000*F110,0),""))</f>
        <v/>
      </c>
      <c r="N110" s="1" t="str">
        <f aca="false">IFERROR(VLOOKUP(C110,規格資料庫!$A$2:$B$162,2,FALSE()),"")</f>
        <v/>
      </c>
    </row>
    <row r="111" customFormat="false" ht="15" hidden="false" customHeight="true" outlineLevel="0" collapsed="false">
      <c r="A111" s="26"/>
      <c r="B111" s="21"/>
      <c r="C111" s="26"/>
      <c r="D111" s="26"/>
      <c r="E111" s="21"/>
      <c r="F111" s="21"/>
      <c r="G111" s="26"/>
      <c r="H111" s="21"/>
      <c r="I111" s="26"/>
      <c r="J111" s="22" t="str">
        <f aca="false">IFERROR(VLOOKUP(C111,規格資料庫!$A$2:$E$162,3,FALSE()),"")</f>
        <v/>
      </c>
      <c r="K111" s="23" t="str">
        <f aca="false">IFERROR(VLOOKUP(C111,規格資料庫!$A$2:$E$162,4,FALSE()),"")</f>
        <v/>
      </c>
      <c r="L111" s="24" t="str">
        <f aca="false">IF(J111="","",J111*E111/1000*F111)</f>
        <v/>
      </c>
      <c r="M111" s="25" t="str">
        <f aca="false">IF(OR(C111="",G111="",G111="無"),"",IFERROR(K111*IF(OR(H111="",H111=0),E111,H111)/1000*F111-IF(I111="是",VLOOKUP(C111,規格資料庫!$A$2:$E$162,5,FALSE())/1000*IF(OR(H111="",H111=0),E111,H111)/1000*F111,0),""))</f>
        <v/>
      </c>
      <c r="N111" s="1" t="str">
        <f aca="false">IFERROR(VLOOKUP(C111,規格資料庫!$A$2:$B$162,2,FALSE()),"")</f>
        <v/>
      </c>
    </row>
    <row r="112" customFormat="false" ht="15" hidden="false" customHeight="true" outlineLevel="0" collapsed="false">
      <c r="A112" s="26"/>
      <c r="B112" s="21"/>
      <c r="C112" s="26"/>
      <c r="D112" s="26"/>
      <c r="E112" s="21"/>
      <c r="F112" s="21"/>
      <c r="G112" s="26"/>
      <c r="H112" s="21"/>
      <c r="I112" s="26"/>
      <c r="J112" s="22" t="str">
        <f aca="false">IFERROR(VLOOKUP(C112,規格資料庫!$A$2:$E$162,3,FALSE()),"")</f>
        <v/>
      </c>
      <c r="K112" s="23" t="str">
        <f aca="false">IFERROR(VLOOKUP(C112,規格資料庫!$A$2:$E$162,4,FALSE()),"")</f>
        <v/>
      </c>
      <c r="L112" s="24" t="str">
        <f aca="false">IF(J112="","",J112*E112/1000*F112)</f>
        <v/>
      </c>
      <c r="M112" s="25" t="str">
        <f aca="false">IF(OR(C112="",G112="",G112="無"),"",IFERROR(K112*IF(OR(H112="",H112=0),E112,H112)/1000*F112-IF(I112="是",VLOOKUP(C112,規格資料庫!$A$2:$E$162,5,FALSE())/1000*IF(OR(H112="",H112=0),E112,H112)/1000*F112,0),""))</f>
        <v/>
      </c>
      <c r="N112" s="1" t="str">
        <f aca="false">IFERROR(VLOOKUP(C112,規格資料庫!$A$2:$B$162,2,FALSE()),"")</f>
        <v/>
      </c>
    </row>
    <row r="113" customFormat="false" ht="15" hidden="false" customHeight="true" outlineLevel="0" collapsed="false">
      <c r="A113" s="26"/>
      <c r="B113" s="21"/>
      <c r="C113" s="26"/>
      <c r="D113" s="26"/>
      <c r="E113" s="21"/>
      <c r="F113" s="21"/>
      <c r="G113" s="26"/>
      <c r="H113" s="21"/>
      <c r="I113" s="26"/>
      <c r="J113" s="22" t="str">
        <f aca="false">IFERROR(VLOOKUP(C113,規格資料庫!$A$2:$E$162,3,FALSE()),"")</f>
        <v/>
      </c>
      <c r="K113" s="23" t="str">
        <f aca="false">IFERROR(VLOOKUP(C113,規格資料庫!$A$2:$E$162,4,FALSE()),"")</f>
        <v/>
      </c>
      <c r="L113" s="24" t="str">
        <f aca="false">IF(J113="","",J113*E113/1000*F113)</f>
        <v/>
      </c>
      <c r="M113" s="25" t="str">
        <f aca="false">IF(OR(C113="",G113="",G113="無"),"",IFERROR(K113*IF(OR(H113="",H113=0),E113,H113)/1000*F113-IF(I113="是",VLOOKUP(C113,規格資料庫!$A$2:$E$162,5,FALSE())/1000*IF(OR(H113="",H113=0),E113,H113)/1000*F113,0),""))</f>
        <v/>
      </c>
      <c r="N113" s="1" t="str">
        <f aca="false">IFERROR(VLOOKUP(C113,規格資料庫!$A$2:$B$162,2,FALSE()),"")</f>
        <v/>
      </c>
    </row>
    <row r="114" customFormat="false" ht="15" hidden="false" customHeight="true" outlineLevel="0" collapsed="false">
      <c r="A114" s="26"/>
      <c r="B114" s="21"/>
      <c r="C114" s="26"/>
      <c r="D114" s="26"/>
      <c r="E114" s="21"/>
      <c r="F114" s="21"/>
      <c r="G114" s="26"/>
      <c r="H114" s="21"/>
      <c r="I114" s="26"/>
      <c r="J114" s="22" t="str">
        <f aca="false">IFERROR(VLOOKUP(C114,規格資料庫!$A$2:$E$162,3,FALSE()),"")</f>
        <v/>
      </c>
      <c r="K114" s="23" t="str">
        <f aca="false">IFERROR(VLOOKUP(C114,規格資料庫!$A$2:$E$162,4,FALSE()),"")</f>
        <v/>
      </c>
      <c r="L114" s="24" t="str">
        <f aca="false">IF(J114="","",J114*E114/1000*F114)</f>
        <v/>
      </c>
      <c r="M114" s="25" t="str">
        <f aca="false">IF(OR(C114="",G114="",G114="無"),"",IFERROR(K114*IF(OR(H114="",H114=0),E114,H114)/1000*F114-IF(I114="是",VLOOKUP(C114,規格資料庫!$A$2:$E$162,5,FALSE())/1000*IF(OR(H114="",H114=0),E114,H114)/1000*F114,0),""))</f>
        <v/>
      </c>
      <c r="N114" s="1" t="str">
        <f aca="false">IFERROR(VLOOKUP(C114,規格資料庫!$A$2:$B$162,2,FALSE()),"")</f>
        <v/>
      </c>
    </row>
    <row r="115" customFormat="false" ht="15" hidden="false" customHeight="true" outlineLevel="0" collapsed="false">
      <c r="A115" s="26"/>
      <c r="B115" s="21"/>
      <c r="C115" s="26"/>
      <c r="D115" s="26"/>
      <c r="E115" s="21"/>
      <c r="F115" s="21"/>
      <c r="G115" s="26"/>
      <c r="H115" s="21"/>
      <c r="I115" s="26"/>
      <c r="J115" s="22" t="str">
        <f aca="false">IFERROR(VLOOKUP(C115,規格資料庫!$A$2:$E$162,3,FALSE()),"")</f>
        <v/>
      </c>
      <c r="K115" s="23" t="str">
        <f aca="false">IFERROR(VLOOKUP(C115,規格資料庫!$A$2:$E$162,4,FALSE()),"")</f>
        <v/>
      </c>
      <c r="L115" s="24" t="str">
        <f aca="false">IF(J115="","",J115*E115/1000*F115)</f>
        <v/>
      </c>
      <c r="M115" s="25" t="str">
        <f aca="false">IF(OR(C115="",G115="",G115="無"),"",IFERROR(K115*IF(OR(H115="",H115=0),E115,H115)/1000*F115-IF(I115="是",VLOOKUP(C115,規格資料庫!$A$2:$E$162,5,FALSE())/1000*IF(OR(H115="",H115=0),E115,H115)/1000*F115,0),""))</f>
        <v/>
      </c>
      <c r="N115" s="1" t="str">
        <f aca="false">IFERROR(VLOOKUP(C115,規格資料庫!$A$2:$B$162,2,FALSE()),"")</f>
        <v/>
      </c>
    </row>
    <row r="116" customFormat="false" ht="15" hidden="false" customHeight="true" outlineLevel="0" collapsed="false">
      <c r="A116" s="26"/>
      <c r="B116" s="21"/>
      <c r="C116" s="26"/>
      <c r="D116" s="26"/>
      <c r="E116" s="21"/>
      <c r="F116" s="21"/>
      <c r="G116" s="26"/>
      <c r="H116" s="21"/>
      <c r="I116" s="26"/>
      <c r="J116" s="22" t="str">
        <f aca="false">IFERROR(VLOOKUP(C116,規格資料庫!$A$2:$E$162,3,FALSE()),"")</f>
        <v/>
      </c>
      <c r="K116" s="23" t="str">
        <f aca="false">IFERROR(VLOOKUP(C116,規格資料庫!$A$2:$E$162,4,FALSE()),"")</f>
        <v/>
      </c>
      <c r="L116" s="24" t="str">
        <f aca="false">IF(J116="","",J116*E116/1000*F116)</f>
        <v/>
      </c>
      <c r="M116" s="25" t="str">
        <f aca="false">IF(OR(C116="",G116="",G116="無"),"",IFERROR(K116*IF(OR(H116="",H116=0),E116,H116)/1000*F116-IF(I116="是",VLOOKUP(C116,規格資料庫!$A$2:$E$162,5,FALSE())/1000*IF(OR(H116="",H116=0),E116,H116)/1000*F116,0),""))</f>
        <v/>
      </c>
      <c r="N116" s="1" t="str">
        <f aca="false">IFERROR(VLOOKUP(C116,規格資料庫!$A$2:$B$162,2,FALSE()),"")</f>
        <v/>
      </c>
    </row>
    <row r="117" customFormat="false" ht="15" hidden="false" customHeight="true" outlineLevel="0" collapsed="false">
      <c r="A117" s="26"/>
      <c r="B117" s="21"/>
      <c r="C117" s="26"/>
      <c r="D117" s="26"/>
      <c r="E117" s="21"/>
      <c r="F117" s="21"/>
      <c r="G117" s="26"/>
      <c r="H117" s="21"/>
      <c r="I117" s="26"/>
      <c r="J117" s="22" t="str">
        <f aca="false">IFERROR(VLOOKUP(C117,規格資料庫!$A$2:$E$162,3,FALSE()),"")</f>
        <v/>
      </c>
      <c r="K117" s="23" t="str">
        <f aca="false">IFERROR(VLOOKUP(C117,規格資料庫!$A$2:$E$162,4,FALSE()),"")</f>
        <v/>
      </c>
      <c r="L117" s="24" t="str">
        <f aca="false">IF(J117="","",J117*E117/1000*F117)</f>
        <v/>
      </c>
      <c r="M117" s="25" t="str">
        <f aca="false">IF(OR(C117="",G117="",G117="無"),"",IFERROR(K117*IF(OR(H117="",H117=0),E117,H117)/1000*F117-IF(I117="是",VLOOKUP(C117,規格資料庫!$A$2:$E$162,5,FALSE())/1000*IF(OR(H117="",H117=0),E117,H117)/1000*F117,0),""))</f>
        <v/>
      </c>
      <c r="N117" s="1" t="str">
        <f aca="false">IFERROR(VLOOKUP(C117,規格資料庫!$A$2:$B$162,2,FALSE()),"")</f>
        <v/>
      </c>
    </row>
    <row r="118" customFormat="false" ht="15" hidden="false" customHeight="true" outlineLevel="0" collapsed="false">
      <c r="A118" s="26"/>
      <c r="B118" s="21"/>
      <c r="C118" s="26"/>
      <c r="D118" s="26"/>
      <c r="E118" s="21"/>
      <c r="F118" s="21"/>
      <c r="G118" s="26"/>
      <c r="H118" s="21"/>
      <c r="I118" s="26"/>
      <c r="J118" s="22" t="str">
        <f aca="false">IFERROR(VLOOKUP(C118,規格資料庫!$A$2:$E$162,3,FALSE()),"")</f>
        <v/>
      </c>
      <c r="K118" s="23" t="str">
        <f aca="false">IFERROR(VLOOKUP(C118,規格資料庫!$A$2:$E$162,4,FALSE()),"")</f>
        <v/>
      </c>
      <c r="L118" s="24" t="str">
        <f aca="false">IF(J118="","",J118*E118/1000*F118)</f>
        <v/>
      </c>
      <c r="M118" s="25" t="str">
        <f aca="false">IF(OR(C118="",G118="",G118="無"),"",IFERROR(K118*IF(OR(H118="",H118=0),E118,H118)/1000*F118-IF(I118="是",VLOOKUP(C118,規格資料庫!$A$2:$E$162,5,FALSE())/1000*IF(OR(H118="",H118=0),E118,H118)/1000*F118,0),""))</f>
        <v/>
      </c>
      <c r="N118" s="1" t="str">
        <f aca="false">IFERROR(VLOOKUP(C118,規格資料庫!$A$2:$B$162,2,FALSE()),"")</f>
        <v/>
      </c>
    </row>
    <row r="119" customFormat="false" ht="15" hidden="false" customHeight="true" outlineLevel="0" collapsed="false">
      <c r="A119" s="26"/>
      <c r="B119" s="21"/>
      <c r="C119" s="26"/>
      <c r="D119" s="26"/>
      <c r="E119" s="21"/>
      <c r="F119" s="21"/>
      <c r="G119" s="26"/>
      <c r="H119" s="21"/>
      <c r="I119" s="26"/>
      <c r="J119" s="22" t="str">
        <f aca="false">IFERROR(VLOOKUP(C119,規格資料庫!$A$2:$E$162,3,FALSE()),"")</f>
        <v/>
      </c>
      <c r="K119" s="23" t="str">
        <f aca="false">IFERROR(VLOOKUP(C119,規格資料庫!$A$2:$E$162,4,FALSE()),"")</f>
        <v/>
      </c>
      <c r="L119" s="24" t="str">
        <f aca="false">IF(J119="","",J119*E119/1000*F119)</f>
        <v/>
      </c>
      <c r="M119" s="25" t="str">
        <f aca="false">IF(OR(C119="",G119="",G119="無"),"",IFERROR(K119*IF(OR(H119="",H119=0),E119,H119)/1000*F119-IF(I119="是",VLOOKUP(C119,規格資料庫!$A$2:$E$162,5,FALSE())/1000*IF(OR(H119="",H119=0),E119,H119)/1000*F119,0),""))</f>
        <v/>
      </c>
      <c r="N119" s="1" t="str">
        <f aca="false">IFERROR(VLOOKUP(C119,規格資料庫!$A$2:$B$162,2,FALSE()),"")</f>
        <v/>
      </c>
    </row>
    <row r="120" customFormat="false" ht="15" hidden="false" customHeight="true" outlineLevel="0" collapsed="false">
      <c r="A120" s="26"/>
      <c r="B120" s="21"/>
      <c r="C120" s="26"/>
      <c r="D120" s="26"/>
      <c r="E120" s="21"/>
      <c r="F120" s="21"/>
      <c r="G120" s="26"/>
      <c r="H120" s="21"/>
      <c r="I120" s="26"/>
      <c r="J120" s="22" t="str">
        <f aca="false">IFERROR(VLOOKUP(C120,規格資料庫!$A$2:$E$162,3,FALSE()),"")</f>
        <v/>
      </c>
      <c r="K120" s="23" t="str">
        <f aca="false">IFERROR(VLOOKUP(C120,規格資料庫!$A$2:$E$162,4,FALSE()),"")</f>
        <v/>
      </c>
      <c r="L120" s="24" t="str">
        <f aca="false">IF(J120="","",J120*E120/1000*F120)</f>
        <v/>
      </c>
      <c r="M120" s="25" t="str">
        <f aca="false">IF(OR(C120="",G120="",G120="無"),"",IFERROR(K120*IF(OR(H120="",H120=0),E120,H120)/1000*F120-IF(I120="是",VLOOKUP(C120,規格資料庫!$A$2:$E$162,5,FALSE())/1000*IF(OR(H120="",H120=0),E120,H120)/1000*F120,0),""))</f>
        <v/>
      </c>
      <c r="N120" s="1" t="str">
        <f aca="false">IFERROR(VLOOKUP(C120,規格資料庫!$A$2:$B$162,2,FALSE()),"")</f>
        <v/>
      </c>
    </row>
    <row r="121" customFormat="false" ht="15" hidden="false" customHeight="true" outlineLevel="0" collapsed="false">
      <c r="A121" s="27" t="s">
        <v>65</v>
      </c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8" t="n">
        <f aca="false">SUM(L101:L120)</f>
        <v>0</v>
      </c>
      <c r="M121" s="29" t="n">
        <f aca="false">SUM(M101:M120)</f>
        <v>0</v>
      </c>
      <c r="O121" s="30" t="n">
        <f aca="false">SUMIF(G101:G120,"油漆",M101:M120)</f>
        <v>0</v>
      </c>
      <c r="P121" s="30" t="n">
        <f aca="false">SUMIF(G101:G120,"防火漆1hr",M101:M120)</f>
        <v>0</v>
      </c>
      <c r="Q121" s="30" t="n">
        <f aca="false">SUMIF(G101:G120,"防火漆2hr",M101:M120)</f>
        <v>0</v>
      </c>
      <c r="R121" s="30" t="n">
        <f aca="false">SUMIF(G101:G120,"防火批覆",M101:M120)</f>
        <v>0</v>
      </c>
      <c r="S121" s="31" t="n">
        <f aca="false">SUMPRODUCT((D101:D120="SN400B")*IF(ISNUMBER(L101:L120),L101:L120,0))</f>
        <v>0</v>
      </c>
      <c r="T121" s="31" t="n">
        <f aca="false">SUMPRODUCT((D101:D120="A36")*IF(ISNUMBER(L101:L120),L101:L120,0))</f>
        <v>0</v>
      </c>
      <c r="U121" s="31" t="n">
        <f aca="false">SUMPRODUCT((D101:D120="SN490B")*IF(ISNUMBER(L101:L120),L101:L120,0))</f>
        <v>0</v>
      </c>
      <c r="V121" s="31" t="n">
        <f aca="false">SUMPRODUCT((D101:D120="A572 Gr.50")*IF(ISNUMBER(L101:L120),L101:L120,0))</f>
        <v>0</v>
      </c>
      <c r="W121" s="31" t="n">
        <f aca="false">SUMPRODUCT((N101:N120="GR")*IF(ISNUMBER(L101:L120),L101:L120,0))</f>
        <v>0</v>
      </c>
      <c r="X121" s="31" t="n">
        <f aca="false">SUMPRODUCT((N101:N120="CP")*IF(ISNUMBER(L101:L120),L101:L120,0))</f>
        <v>0</v>
      </c>
    </row>
  </sheetData>
  <mergeCells count="6">
    <mergeCell ref="A1:M1"/>
    <mergeCell ref="A3:M3"/>
    <mergeCell ref="A27:M27"/>
    <mergeCell ref="A51:M51"/>
    <mergeCell ref="A75:M75"/>
    <mergeCell ref="A99:M99"/>
  </mergeCells>
  <dataValidations count="9">
    <dataValidation allowBlank="true" errorStyle="stop" operator="between" prompt="選斷面類型或前綴" promptTitle="▼ 下拉選單" showDropDown="false" showErrorMessage="false" showInputMessage="true" sqref="A5:A24 A29:A48 A53:A72 A77:A96 A101:A120" type="list">
      <formula1>prefix_list</formula1>
      <formula2>0</formula2>
    </dataValidation>
    <dataValidation allowBlank="true" errorStyle="stop" operator="between" prompt="選鋼料類別" promptTitle="▼ 下拉選單" showDropDown="false" showErrorMessage="false" showInputMessage="true" sqref="D5:D24 D29:D48 D53:D72 D77:D96 D101:D120" type="list">
      <formula1>"SN400B,SN490B,A572 Gr.50,A36"</formula1>
      <formula2>0</formula2>
    </dataValidation>
    <dataValidation allowBlank="true" errorStyle="stop" operator="between" prompt="選塗裝類型" promptTitle="▼ 下拉選單" showDropDown="false" showErrorMessage="false" showInputMessage="true" sqref="G5:G24 G29:G48 G53:G72 G77:G96 G101:G120" type="list">
      <formula1>"油漆,防火漆1hr,防火漆2hr,防火批覆,無"</formula1>
      <formula2>0</formula2>
    </dataValidation>
    <dataValidation allowBlank="true" errorStyle="stop" operator="between" prompt="選是否扣除" promptTitle="▼ 下拉選單" showDropDown="false" showErrorMessage="false" showInputMessage="true" sqref="I5:I24 I29:I48 I53:I72 I77:I96 I101:I120" type="list">
      <formula1>"否,是"</formula1>
      <formula2>0</formula2>
    </dataValidation>
    <dataValidation allowBlank="true" errorStyle="stop" operator="between" showDropDown="false" showErrorMessage="false" showInputMessage="false" sqref="C5:C24" type="list">
      <formula1>INDIRECT("spec_"&amp;SUBSTITUTE(SUBSTITUTE(SUBSTITUTE(SUBSTITUTE(SUBSTITUTE(SUBSTITUTE(SUBSTITUTE(A5,".","_"),"-","_"),"@","_")," ","_"),"φ","d"),"(","_"),")","_"))</formula1>
      <formula2>0</formula2>
    </dataValidation>
    <dataValidation allowBlank="true" errorStyle="stop" operator="between" showDropDown="false" showErrorMessage="false" showInputMessage="false" sqref="C29:C48" type="list">
      <formula1>INDIRECT("spec_"&amp;SUBSTITUTE(SUBSTITUTE(SUBSTITUTE(SUBSTITUTE(SUBSTITUTE(SUBSTITUTE(SUBSTITUTE(A29,".","_"),"-","_"),"@","_")," ","_"),"φ","d"),"(","_"),")","_"))</formula1>
      <formula2>0</formula2>
    </dataValidation>
    <dataValidation allowBlank="true" errorStyle="stop" operator="between" showDropDown="false" showErrorMessage="false" showInputMessage="false" sqref="C53:C72" type="list">
      <formula1>INDIRECT("spec_"&amp;SUBSTITUTE(SUBSTITUTE(SUBSTITUTE(SUBSTITUTE(SUBSTITUTE(SUBSTITUTE(SUBSTITUTE(A53,".","_"),"-","_"),"@","_")," ","_"),"φ","d"),"(","_"),")","_"))</formula1>
      <formula2>0</formula2>
    </dataValidation>
    <dataValidation allowBlank="true" errorStyle="stop" operator="between" showDropDown="false" showErrorMessage="false" showInputMessage="false" sqref="C77:C96" type="list">
      <formula1>INDIRECT("spec_"&amp;SUBSTITUTE(SUBSTITUTE(SUBSTITUTE(SUBSTITUTE(SUBSTITUTE(SUBSTITUTE(SUBSTITUTE(A77,".","_"),"-","_"),"@","_")," ","_"),"φ","d"),"(","_"),")","_"))</formula1>
      <formula2>0</formula2>
    </dataValidation>
    <dataValidation allowBlank="true" errorStyle="stop" operator="between" showDropDown="false" showErrorMessage="false" showInputMessage="false" sqref="C101:C120" type="list">
      <formula1>INDIRECT("spec_"&amp;SUBSTITUTE(SUBSTITUTE(SUBSTITUTE(SUBSTITUTE(SUBSTITUTE(SUBSTITUTE(SUBSTITUTE(A101,".","_"),"-","_"),"@","_")," ","_"),"φ","d"),"(","_"),")","_"))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X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5" min="4" style="1" width="12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13" min="8" style="1" width="13"/>
  </cols>
  <sheetData>
    <row r="1" customFormat="false" ht="15" hidden="false" customHeight="true" outlineLevel="0" collapsed="false">
      <c r="A1" s="3" t="s">
        <v>84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3" customFormat="false" ht="29.25" hidden="false" customHeight="true" outlineLevel="0" collapsed="false">
      <c r="A3" s="12" t="s">
        <v>85</v>
      </c>
      <c r="B3" s="12" t="s">
        <v>86</v>
      </c>
      <c r="C3" s="12" t="s">
        <v>87</v>
      </c>
      <c r="D3" s="12" t="s">
        <v>88</v>
      </c>
      <c r="E3" s="12" t="s">
        <v>89</v>
      </c>
      <c r="F3" s="12" t="s">
        <v>90</v>
      </c>
      <c r="G3" s="12" t="s">
        <v>91</v>
      </c>
      <c r="H3" s="12" t="s">
        <v>92</v>
      </c>
      <c r="I3" s="12" t="s">
        <v>93</v>
      </c>
      <c r="J3" s="12" t="s">
        <v>94</v>
      </c>
      <c r="K3" s="12" t="s">
        <v>95</v>
      </c>
      <c r="L3" s="12" t="s">
        <v>96</v>
      </c>
    </row>
    <row r="4" customFormat="false" ht="15" hidden="false" customHeight="true" outlineLevel="0" collapsed="false">
      <c r="A4" s="32" t="s">
        <v>97</v>
      </c>
      <c r="B4" s="19" t="n">
        <v>6</v>
      </c>
      <c r="C4" s="19" t="n">
        <v>2</v>
      </c>
      <c r="D4" s="19" t="n">
        <v>4</v>
      </c>
      <c r="E4" s="19" t="n">
        <v>0</v>
      </c>
      <c r="F4" s="19" t="n">
        <v>0</v>
      </c>
      <c r="G4" s="24" t="n">
        <f aca="false">IF(A4="","",IF(B4="",0,B4)*'❷ 區塊定義'!L25+IF(C4="",0,C4)*'❷ 區塊定義'!L49+IF(D4="",0,D4)*'❷ 區塊定義'!L73+IF(E4="",0,E4)*'❷ 區塊定義'!L97+IF(F4="",0,F4)*'❷ 區塊定義'!L121)</f>
        <v>79602.432</v>
      </c>
      <c r="H4" s="25" t="n">
        <f aca="false">IF(A4="","",IF(B4="",0,B4)*'❷ 區塊定義'!O25+IF(C4="",0,C4)*'❷ 區塊定義'!O49+IF(D4="",0,D4)*'❷ 區塊定義'!O73+IF(E4="",0,E4)*'❷ 區塊定義'!O97+IF(F4="",0,F4)*'❷ 區塊定義'!O121)</f>
        <v>527.656</v>
      </c>
      <c r="I4" s="25" t="n">
        <f aca="false">IF(A4="","",IF(B4="",0,B4)*'❷ 區塊定義'!P25+IF(C4="",0,C4)*'❷ 區塊定義'!P49+IF(D4="",0,D4)*'❷ 區塊定義'!P73+IF(E4="",0,E4)*'❷ 區塊定義'!P97+IF(F4="",0,F4)*'❷ 區塊定義'!P121)</f>
        <v>84.72</v>
      </c>
      <c r="J4" s="25" t="n">
        <f aca="false">IF(A4="","",IF(B4="",0,B4)*'❷ 區塊定義'!Q25+IF(C4="",0,C4)*'❷ 區塊定義'!Q49+IF(D4="",0,D4)*'❷ 區塊定義'!Q73+IF(E4="",0,E4)*'❷ 區塊定義'!Q97+IF(F4="",0,F4)*'❷ 區塊定義'!Q121)</f>
        <v>326.4</v>
      </c>
      <c r="K4" s="25" t="n">
        <f aca="false">IF(A4="","",IF(B4="",0,B4)*'❷ 區塊定義'!R25+IF(C4="",0,C4)*'❷ 區塊定義'!R49+IF(D4="",0,D4)*'❷ 區塊定義'!R73+IF(E4="",0,E4)*'❷ 區塊定義'!R97+IF(F4="",0,F4)*'❷ 區塊定義'!R121)</f>
        <v>0</v>
      </c>
      <c r="L4" s="25" t="n">
        <f aca="false">IF(A4="","",H4+I4+J4+K4)</f>
        <v>938.776</v>
      </c>
      <c r="M4" s="16" t="n">
        <f aca="false">IF(A4="","",IF(B4="",0,B4)*'❷ 區塊定義'!S25+IF(C4="",0,C4)*'❷ 區塊定義'!S49+IF(D4="",0,D4)*'❷ 區塊定義'!S73+IF(E4="",0,E4)*'❷ 區塊定義'!S97+IF(F4="",0,F4)*'❷ 區塊定義'!S121)</f>
        <v>76476.432</v>
      </c>
      <c r="N4" s="16" t="n">
        <f aca="false">IF(A4="","",IF(B4="",0,B4)*'❷ 區塊定義'!T25+IF(C4="",0,C4)*'❷ 區塊定義'!T49+IF(D4="",0,D4)*'❷ 區塊定義'!T73+IF(E4="",0,E4)*'❷ 區塊定義'!T97+IF(F4="",0,F4)*'❷ 區塊定義'!T121)</f>
        <v>3126</v>
      </c>
      <c r="O4" s="16" t="n">
        <f aca="false">IF(A4="","",IF(B4="",0,B4)*'❷ 區塊定義'!U25+IF(C4="",0,C4)*'❷ 區塊定義'!U49+IF(D4="",0,D4)*'❷ 區塊定義'!U73+IF(E4="",0,E4)*'❷ 區塊定義'!U97+IF(F4="",0,F4)*'❷ 區塊定義'!U121)</f>
        <v>0</v>
      </c>
      <c r="P4" s="16" t="n">
        <f aca="false">IF(A4="","",IF(B4="",0,B4)*'❷ 區塊定義'!V25+IF(C4="",0,C4)*'❷ 區塊定義'!V49+IF(D4="",0,D4)*'❷ 區塊定義'!V73+IF(E4="",0,E4)*'❷ 區塊定義'!V97+IF(F4="",0,F4)*'❷ 區塊定義'!V121)</f>
        <v>0</v>
      </c>
      <c r="Q4" s="16" t="n">
        <f aca="false">IF(A4="","",IF(B4="",0,B4)*'❷ 區塊定義'!W25+IF(C4="",0,C4)*'❷ 區塊定義'!W49+IF(D4="",0,D4)*'❷ 區塊定義'!W73+IF(E4="",0,E4)*'❷ 區塊定義'!W97+IF(F4="",0,F4)*'❷ 區塊定義'!W121)</f>
        <v>0</v>
      </c>
      <c r="R4" s="16" t="n">
        <f aca="false">IF(A4="","",IF(B4="",0,B4)*'❷ 區塊定義'!X25+IF(C4="",0,C4)*'❷ 區塊定義'!X49+IF(D4="",0,D4)*'❷ 區塊定義'!X73+IF(E4="",0,E4)*'❷ 區塊定義'!X97+IF(F4="",0,F4)*'❷ 區塊定義'!X121)</f>
        <v>0</v>
      </c>
    </row>
    <row r="5" customFormat="false" ht="15" hidden="false" customHeight="true" outlineLevel="0" collapsed="false">
      <c r="A5" s="32" t="s">
        <v>98</v>
      </c>
      <c r="B5" s="19" t="n">
        <v>6</v>
      </c>
      <c r="C5" s="19" t="n">
        <v>2</v>
      </c>
      <c r="D5" s="19" t="n">
        <v>4</v>
      </c>
      <c r="E5" s="19" t="n">
        <v>0</v>
      </c>
      <c r="F5" s="19" t="n">
        <v>0</v>
      </c>
      <c r="G5" s="24" t="n">
        <f aca="false">IF(A5="","",IF(B5="",0,B5)*'❷ 區塊定義'!L25+IF(C5="",0,C5)*'❷ 區塊定義'!L49+IF(D5="",0,D5)*'❷ 區塊定義'!L73+IF(E5="",0,E5)*'❷ 區塊定義'!L97+IF(F5="",0,F5)*'❷ 區塊定義'!L121)</f>
        <v>79602.432</v>
      </c>
      <c r="H5" s="25" t="n">
        <f aca="false">IF(A5="","",IF(B5="",0,B5)*'❷ 區塊定義'!O25+IF(C5="",0,C5)*'❷ 區塊定義'!O49+IF(D5="",0,D5)*'❷ 區塊定義'!O73+IF(E5="",0,E5)*'❷ 區塊定義'!O97+IF(F5="",0,F5)*'❷ 區塊定義'!O121)</f>
        <v>527.656</v>
      </c>
      <c r="I5" s="25" t="n">
        <f aca="false">IF(A5="","",IF(B5="",0,B5)*'❷ 區塊定義'!P25+IF(C5="",0,C5)*'❷ 區塊定義'!P49+IF(D5="",0,D5)*'❷ 區塊定義'!P73+IF(E5="",0,E5)*'❷ 區塊定義'!P97+IF(F5="",0,F5)*'❷ 區塊定義'!P121)</f>
        <v>84.72</v>
      </c>
      <c r="J5" s="25" t="n">
        <f aca="false">IF(A5="","",IF(B5="",0,B5)*'❷ 區塊定義'!Q25+IF(C5="",0,C5)*'❷ 區塊定義'!Q49+IF(D5="",0,D5)*'❷ 區塊定義'!Q73+IF(E5="",0,E5)*'❷ 區塊定義'!Q97+IF(F5="",0,F5)*'❷ 區塊定義'!Q121)</f>
        <v>326.4</v>
      </c>
      <c r="K5" s="25" t="n">
        <f aca="false">IF(A5="","",IF(B5="",0,B5)*'❷ 區塊定義'!R25+IF(C5="",0,C5)*'❷ 區塊定義'!R49+IF(D5="",0,D5)*'❷ 區塊定義'!R73+IF(E5="",0,E5)*'❷ 區塊定義'!R97+IF(F5="",0,F5)*'❷ 區塊定義'!R121)</f>
        <v>0</v>
      </c>
      <c r="L5" s="25" t="n">
        <f aca="false">IF(A5="","",H5+I5+J5+K5)</f>
        <v>938.776</v>
      </c>
      <c r="M5" s="16" t="n">
        <f aca="false">IF(A5="","",IF(B5="",0,B5)*'❷ 區塊定義'!S25+IF(C5="",0,C5)*'❷ 區塊定義'!S49+IF(D5="",0,D5)*'❷ 區塊定義'!S73+IF(E5="",0,E5)*'❷ 區塊定義'!S97+IF(F5="",0,F5)*'❷ 區塊定義'!S121)</f>
        <v>76476.432</v>
      </c>
      <c r="N5" s="16" t="n">
        <f aca="false">IF(A5="","",IF(B5="",0,B5)*'❷ 區塊定義'!T25+IF(C5="",0,C5)*'❷ 區塊定義'!T49+IF(D5="",0,D5)*'❷ 區塊定義'!T73+IF(E5="",0,E5)*'❷ 區塊定義'!T97+IF(F5="",0,F5)*'❷ 區塊定義'!T121)</f>
        <v>3126</v>
      </c>
      <c r="O5" s="16" t="n">
        <f aca="false">IF(A5="","",IF(B5="",0,B5)*'❷ 區塊定義'!U25+IF(C5="",0,C5)*'❷ 區塊定義'!U49+IF(D5="",0,D5)*'❷ 區塊定義'!U73+IF(E5="",0,E5)*'❷ 區塊定義'!U97+IF(F5="",0,F5)*'❷ 區塊定義'!U121)</f>
        <v>0</v>
      </c>
      <c r="P5" s="16" t="n">
        <f aca="false">IF(A5="","",IF(B5="",0,B5)*'❷ 區塊定義'!V25+IF(C5="",0,C5)*'❷ 區塊定義'!V49+IF(D5="",0,D5)*'❷ 區塊定義'!V73+IF(E5="",0,E5)*'❷ 區塊定義'!V97+IF(F5="",0,F5)*'❷ 區塊定義'!V121)</f>
        <v>0</v>
      </c>
      <c r="Q5" s="16" t="n">
        <f aca="false">IF(A5="","",IF(B5="",0,B5)*'❷ 區塊定義'!W25+IF(C5="",0,C5)*'❷ 區塊定義'!W49+IF(D5="",0,D5)*'❷ 區塊定義'!W73+IF(E5="",0,E5)*'❷ 區塊定義'!W97+IF(F5="",0,F5)*'❷ 區塊定義'!W121)</f>
        <v>0</v>
      </c>
      <c r="R5" s="16" t="n">
        <f aca="false">IF(A5="","",IF(B5="",0,B5)*'❷ 區塊定義'!X25+IF(C5="",0,C5)*'❷ 區塊定義'!X49+IF(D5="",0,D5)*'❷ 區塊定義'!X73+IF(E5="",0,E5)*'❷ 區塊定義'!X97+IF(F5="",0,F5)*'❷ 區塊定義'!X121)</f>
        <v>0</v>
      </c>
    </row>
    <row r="6" customFormat="false" ht="15" hidden="false" customHeight="true" outlineLevel="0" collapsed="false">
      <c r="A6" s="32" t="s">
        <v>99</v>
      </c>
      <c r="B6" s="19" t="n">
        <v>6</v>
      </c>
      <c r="C6" s="19" t="n">
        <v>2</v>
      </c>
      <c r="D6" s="19" t="n">
        <v>4</v>
      </c>
      <c r="E6" s="19" t="n">
        <v>0</v>
      </c>
      <c r="F6" s="19" t="n">
        <v>0</v>
      </c>
      <c r="G6" s="24" t="n">
        <f aca="false">IF(A6="","",IF(B6="",0,B6)*'❷ 區塊定義'!L25+IF(C6="",0,C6)*'❷ 區塊定義'!L49+IF(D6="",0,D6)*'❷ 區塊定義'!L73+IF(E6="",0,E6)*'❷ 區塊定義'!L97+IF(F6="",0,F6)*'❷ 區塊定義'!L121)</f>
        <v>79602.432</v>
      </c>
      <c r="H6" s="25" t="n">
        <f aca="false">IF(A6="","",IF(B6="",0,B6)*'❷ 區塊定義'!O25+IF(C6="",0,C6)*'❷ 區塊定義'!O49+IF(D6="",0,D6)*'❷ 區塊定義'!O73+IF(E6="",0,E6)*'❷ 區塊定義'!O97+IF(F6="",0,F6)*'❷ 區塊定義'!O121)</f>
        <v>527.656</v>
      </c>
      <c r="I6" s="25" t="n">
        <f aca="false">IF(A6="","",IF(B6="",0,B6)*'❷ 區塊定義'!P25+IF(C6="",0,C6)*'❷ 區塊定義'!P49+IF(D6="",0,D6)*'❷ 區塊定義'!P73+IF(E6="",0,E6)*'❷ 區塊定義'!P97+IF(F6="",0,F6)*'❷ 區塊定義'!P121)</f>
        <v>84.72</v>
      </c>
      <c r="J6" s="25" t="n">
        <f aca="false">IF(A6="","",IF(B6="",0,B6)*'❷ 區塊定義'!Q25+IF(C6="",0,C6)*'❷ 區塊定義'!Q49+IF(D6="",0,D6)*'❷ 區塊定義'!Q73+IF(E6="",0,E6)*'❷ 區塊定義'!Q97+IF(F6="",0,F6)*'❷ 區塊定義'!Q121)</f>
        <v>326.4</v>
      </c>
      <c r="K6" s="25" t="n">
        <f aca="false">IF(A6="","",IF(B6="",0,B6)*'❷ 區塊定義'!R25+IF(C6="",0,C6)*'❷ 區塊定義'!R49+IF(D6="",0,D6)*'❷ 區塊定義'!R73+IF(E6="",0,E6)*'❷ 區塊定義'!R97+IF(F6="",0,F6)*'❷ 區塊定義'!R121)</f>
        <v>0</v>
      </c>
      <c r="L6" s="25" t="n">
        <f aca="false">IF(A6="","",H6+I6+J6+K6)</f>
        <v>938.776</v>
      </c>
      <c r="M6" s="16" t="n">
        <f aca="false">IF(A6="","",IF(B6="",0,B6)*'❷ 區塊定義'!S25+IF(C6="",0,C6)*'❷ 區塊定義'!S49+IF(D6="",0,D6)*'❷ 區塊定義'!S73+IF(E6="",0,E6)*'❷ 區塊定義'!S97+IF(F6="",0,F6)*'❷ 區塊定義'!S121)</f>
        <v>76476.432</v>
      </c>
      <c r="N6" s="16" t="n">
        <f aca="false">IF(A6="","",IF(B6="",0,B6)*'❷ 區塊定義'!T25+IF(C6="",0,C6)*'❷ 區塊定義'!T49+IF(D6="",0,D6)*'❷ 區塊定義'!T73+IF(E6="",0,E6)*'❷ 區塊定義'!T97+IF(F6="",0,F6)*'❷ 區塊定義'!T121)</f>
        <v>3126</v>
      </c>
      <c r="O6" s="16" t="n">
        <f aca="false">IF(A6="","",IF(B6="",0,B6)*'❷ 區塊定義'!U25+IF(C6="",0,C6)*'❷ 區塊定義'!U49+IF(D6="",0,D6)*'❷ 區塊定義'!U73+IF(E6="",0,E6)*'❷ 區塊定義'!U97+IF(F6="",0,F6)*'❷ 區塊定義'!U121)</f>
        <v>0</v>
      </c>
      <c r="P6" s="16" t="n">
        <f aca="false">IF(A6="","",IF(B6="",0,B6)*'❷ 區塊定義'!V25+IF(C6="",0,C6)*'❷ 區塊定義'!V49+IF(D6="",0,D6)*'❷ 區塊定義'!V73+IF(E6="",0,E6)*'❷ 區塊定義'!V97+IF(F6="",0,F6)*'❷ 區塊定義'!V121)</f>
        <v>0</v>
      </c>
      <c r="Q6" s="16" t="n">
        <f aca="false">IF(A6="","",IF(B6="",0,B6)*'❷ 區塊定義'!W25+IF(C6="",0,C6)*'❷ 區塊定義'!W49+IF(D6="",0,D6)*'❷ 區塊定義'!W73+IF(E6="",0,E6)*'❷ 區塊定義'!W97+IF(F6="",0,F6)*'❷ 區塊定義'!W121)</f>
        <v>0</v>
      </c>
      <c r="R6" s="16" t="n">
        <f aca="false">IF(A6="","",IF(B6="",0,B6)*'❷ 區塊定義'!X25+IF(C6="",0,C6)*'❷ 區塊定義'!X49+IF(D6="",0,D6)*'❷ 區塊定義'!X73+IF(E6="",0,E6)*'❷ 區塊定義'!X97+IF(F6="",0,F6)*'❷ 區塊定義'!X121)</f>
        <v>0</v>
      </c>
    </row>
    <row r="7" customFormat="false" ht="15" hidden="false" customHeight="true" outlineLevel="0" collapsed="false">
      <c r="A7" s="32" t="s">
        <v>100</v>
      </c>
      <c r="B7" s="19" t="n">
        <v>6</v>
      </c>
      <c r="C7" s="19" t="n">
        <v>0</v>
      </c>
      <c r="D7" s="19" t="n">
        <v>4</v>
      </c>
      <c r="E7" s="19" t="n">
        <v>0</v>
      </c>
      <c r="F7" s="19" t="n">
        <v>0</v>
      </c>
      <c r="G7" s="24" t="n">
        <f aca="false">IF(A7="","",IF(B7="",0,B7)*'❷ 區塊定義'!L25+IF(C7="",0,C7)*'❷ 區塊定義'!L49+IF(D7="",0,D7)*'❷ 區塊定義'!L73+IF(E7="",0,E7)*'❷ 區塊定義'!L97+IF(F7="",0,F7)*'❷ 區塊定義'!L121)</f>
        <v>48630.432</v>
      </c>
      <c r="H7" s="25" t="n">
        <f aca="false">IF(A7="","",IF(B7="",0,B7)*'❷ 區塊定義'!O25+IF(C7="",0,C7)*'❷ 區塊定義'!O49+IF(D7="",0,D7)*'❷ 區塊定義'!O73+IF(E7="",0,E7)*'❷ 區塊定義'!O97+IF(F7="",0,F7)*'❷ 區塊定義'!O121)</f>
        <v>416.196</v>
      </c>
      <c r="I7" s="25" t="n">
        <f aca="false">IF(A7="","",IF(B7="",0,B7)*'❷ 區塊定義'!P25+IF(C7="",0,C7)*'❷ 區塊定義'!P49+IF(D7="",0,D7)*'❷ 區塊定義'!P73+IF(E7="",0,E7)*'❷ 區塊定義'!P97+IF(F7="",0,F7)*'❷ 區塊定義'!P121)</f>
        <v>84.72</v>
      </c>
      <c r="J7" s="25" t="n">
        <f aca="false">IF(A7="","",IF(B7="",0,B7)*'❷ 區塊定義'!Q25+IF(C7="",0,C7)*'❷ 區塊定義'!Q49+IF(D7="",0,D7)*'❷ 區塊定義'!Q73+IF(E7="",0,E7)*'❷ 區塊定義'!Q97+IF(F7="",0,F7)*'❷ 區塊定義'!Q121)</f>
        <v>230.4</v>
      </c>
      <c r="K7" s="25" t="n">
        <f aca="false">IF(A7="","",IF(B7="",0,B7)*'❷ 區塊定義'!R25+IF(C7="",0,C7)*'❷ 區塊定義'!R49+IF(D7="",0,D7)*'❷ 區塊定義'!R73+IF(E7="",0,E7)*'❷ 區塊定義'!R97+IF(F7="",0,F7)*'❷ 區塊定義'!R121)</f>
        <v>0</v>
      </c>
      <c r="L7" s="25" t="n">
        <f aca="false">IF(A7="","",H7+I7+J7+K7)</f>
        <v>731.316</v>
      </c>
      <c r="M7" s="16" t="n">
        <f aca="false">IF(A7="","",IF(B7="",0,B7)*'❷ 區塊定義'!S25+IF(C7="",0,C7)*'❷ 區塊定義'!S49+IF(D7="",0,D7)*'❷ 區塊定義'!S73+IF(E7="",0,E7)*'❷ 區塊定義'!S97+IF(F7="",0,F7)*'❷ 區塊定義'!S121)</f>
        <v>45504.432</v>
      </c>
      <c r="N7" s="16" t="n">
        <f aca="false">IF(A7="","",IF(B7="",0,B7)*'❷ 區塊定義'!T25+IF(C7="",0,C7)*'❷ 區塊定義'!T49+IF(D7="",0,D7)*'❷ 區塊定義'!T73+IF(E7="",0,E7)*'❷ 區塊定義'!T97+IF(F7="",0,F7)*'❷ 區塊定義'!T121)</f>
        <v>3126</v>
      </c>
      <c r="O7" s="16" t="n">
        <f aca="false">IF(A7="","",IF(B7="",0,B7)*'❷ 區塊定義'!U25+IF(C7="",0,C7)*'❷ 區塊定義'!U49+IF(D7="",0,D7)*'❷ 區塊定義'!U73+IF(E7="",0,E7)*'❷ 區塊定義'!U97+IF(F7="",0,F7)*'❷ 區塊定義'!U121)</f>
        <v>0</v>
      </c>
      <c r="P7" s="16" t="n">
        <f aca="false">IF(A7="","",IF(B7="",0,B7)*'❷ 區塊定義'!V25+IF(C7="",0,C7)*'❷ 區塊定義'!V49+IF(D7="",0,D7)*'❷ 區塊定義'!V73+IF(E7="",0,E7)*'❷ 區塊定義'!V97+IF(F7="",0,F7)*'❷ 區塊定義'!V121)</f>
        <v>0</v>
      </c>
      <c r="Q7" s="16" t="n">
        <f aca="false">IF(A7="","",IF(B7="",0,B7)*'❷ 區塊定義'!W25+IF(C7="",0,C7)*'❷ 區塊定義'!W49+IF(D7="",0,D7)*'❷ 區塊定義'!W73+IF(E7="",0,E7)*'❷ 區塊定義'!W97+IF(F7="",0,F7)*'❷ 區塊定義'!W121)</f>
        <v>0</v>
      </c>
      <c r="R7" s="16" t="n">
        <f aca="false">IF(A7="","",IF(B7="",0,B7)*'❷ 區塊定義'!X25+IF(C7="",0,C7)*'❷ 區塊定義'!X49+IF(D7="",0,D7)*'❷ 區塊定義'!X73+IF(E7="",0,E7)*'❷ 區塊定義'!X97+IF(F7="",0,F7)*'❷ 區塊定義'!X121)</f>
        <v>0</v>
      </c>
    </row>
    <row r="8" customFormat="false" ht="15" hidden="false" customHeight="true" outlineLevel="0" collapsed="false">
      <c r="A8" s="21"/>
      <c r="B8" s="21"/>
      <c r="C8" s="21"/>
      <c r="D8" s="21"/>
      <c r="E8" s="21"/>
      <c r="F8" s="21"/>
      <c r="G8" s="24" t="str">
        <f aca="false">IF(A8="","",IF(B8="",0,B8)*'❷ 區塊定義'!L25+IF(C8="",0,C8)*'❷ 區塊定義'!L49+IF(D8="",0,D8)*'❷ 區塊定義'!L73+IF(E8="",0,E8)*'❷ 區塊定義'!L97+IF(F8="",0,F8)*'❷ 區塊定義'!L121)</f>
        <v/>
      </c>
      <c r="H8" s="25" t="str">
        <f aca="false">IF(A8="","",IF(B8="",0,B8)*'❷ 區塊定義'!O25+IF(C8="",0,C8)*'❷ 區塊定義'!O49+IF(D8="",0,D8)*'❷ 區塊定義'!O73+IF(E8="",0,E8)*'❷ 區塊定義'!O97+IF(F8="",0,F8)*'❷ 區塊定義'!O121)</f>
        <v/>
      </c>
      <c r="I8" s="25" t="str">
        <f aca="false">IF(A8="","",IF(B8="",0,B8)*'❷ 區塊定義'!P25+IF(C8="",0,C8)*'❷ 區塊定義'!P49+IF(D8="",0,D8)*'❷ 區塊定義'!P73+IF(E8="",0,E8)*'❷ 區塊定義'!P97+IF(F8="",0,F8)*'❷ 區塊定義'!P121)</f>
        <v/>
      </c>
      <c r="J8" s="25" t="str">
        <f aca="false">IF(A8="","",IF(B8="",0,B8)*'❷ 區塊定義'!Q25+IF(C8="",0,C8)*'❷ 區塊定義'!Q49+IF(D8="",0,D8)*'❷ 區塊定義'!Q73+IF(E8="",0,E8)*'❷ 區塊定義'!Q97+IF(F8="",0,F8)*'❷ 區塊定義'!Q121)</f>
        <v/>
      </c>
      <c r="K8" s="25" t="str">
        <f aca="false">IF(A8="","",IF(B8="",0,B8)*'❷ 區塊定義'!R25+IF(C8="",0,C8)*'❷ 區塊定義'!R49+IF(D8="",0,D8)*'❷ 區塊定義'!R73+IF(E8="",0,E8)*'❷ 區塊定義'!R97+IF(F8="",0,F8)*'❷ 區塊定義'!R121)</f>
        <v/>
      </c>
      <c r="L8" s="25" t="str">
        <f aca="false">IF(A8="","",H8+I8+J8+K8)</f>
        <v/>
      </c>
      <c r="M8" s="16" t="str">
        <f aca="false">IF(A8="","",IF(B8="",0,B8)*'❷ 區塊定義'!S25+IF(C8="",0,C8)*'❷ 區塊定義'!S49+IF(D8="",0,D8)*'❷ 區塊定義'!S73+IF(E8="",0,E8)*'❷ 區塊定義'!S97+IF(F8="",0,F8)*'❷ 區塊定義'!S121)</f>
        <v/>
      </c>
      <c r="N8" s="16" t="str">
        <f aca="false">IF(A8="","",IF(B8="",0,B8)*'❷ 區塊定義'!T25+IF(C8="",0,C8)*'❷ 區塊定義'!T49+IF(D8="",0,D8)*'❷ 區塊定義'!T73+IF(E8="",0,E8)*'❷ 區塊定義'!T97+IF(F8="",0,F8)*'❷ 區塊定義'!T121)</f>
        <v/>
      </c>
      <c r="O8" s="16" t="str">
        <f aca="false">IF(A8="","",IF(B8="",0,B8)*'❷ 區塊定義'!U25+IF(C8="",0,C8)*'❷ 區塊定義'!U49+IF(D8="",0,D8)*'❷ 區塊定義'!U73+IF(E8="",0,E8)*'❷ 區塊定義'!U97+IF(F8="",0,F8)*'❷ 區塊定義'!U121)</f>
        <v/>
      </c>
      <c r="P8" s="16" t="str">
        <f aca="false">IF(A8="","",IF(B8="",0,B8)*'❷ 區塊定義'!V25+IF(C8="",0,C8)*'❷ 區塊定義'!V49+IF(D8="",0,D8)*'❷ 區塊定義'!V73+IF(E8="",0,E8)*'❷ 區塊定義'!V97+IF(F8="",0,F8)*'❷ 區塊定義'!V121)</f>
        <v/>
      </c>
      <c r="Q8" s="16" t="str">
        <f aca="false">IF(A8="","",IF(B8="",0,B8)*'❷ 區塊定義'!W25+IF(C8="",0,C8)*'❷ 區塊定義'!W49+IF(D8="",0,D8)*'❷ 區塊定義'!W73+IF(E8="",0,E8)*'❷ 區塊定義'!W97+IF(F8="",0,F8)*'❷ 區塊定義'!W121)</f>
        <v/>
      </c>
      <c r="R8" s="16" t="str">
        <f aca="false">IF(A8="","",IF(B8="",0,B8)*'❷ 區塊定義'!X25+IF(C8="",0,C8)*'❷ 區塊定義'!X49+IF(D8="",0,D8)*'❷ 區塊定義'!X73+IF(E8="",0,E8)*'❷ 區塊定義'!X97+IF(F8="",0,F8)*'❷ 區塊定義'!X121)</f>
        <v/>
      </c>
    </row>
    <row r="9" customFormat="false" ht="15" hidden="false" customHeight="true" outlineLevel="0" collapsed="false">
      <c r="A9" s="21"/>
      <c r="B9" s="21"/>
      <c r="C9" s="21"/>
      <c r="D9" s="21"/>
      <c r="E9" s="21"/>
      <c r="F9" s="21"/>
      <c r="G9" s="24" t="str">
        <f aca="false">IF(A9="","",IF(B9="",0,B9)*'❷ 區塊定義'!L25+IF(C9="",0,C9)*'❷ 區塊定義'!L49+IF(D9="",0,D9)*'❷ 區塊定義'!L73+IF(E9="",0,E9)*'❷ 區塊定義'!L97+IF(F9="",0,F9)*'❷ 區塊定義'!L121)</f>
        <v/>
      </c>
      <c r="H9" s="25" t="str">
        <f aca="false">IF(A9="","",IF(B9="",0,B9)*'❷ 區塊定義'!O25+IF(C9="",0,C9)*'❷ 區塊定義'!O49+IF(D9="",0,D9)*'❷ 區塊定義'!O73+IF(E9="",0,E9)*'❷ 區塊定義'!O97+IF(F9="",0,F9)*'❷ 區塊定義'!O121)</f>
        <v/>
      </c>
      <c r="I9" s="25" t="str">
        <f aca="false">IF(A9="","",IF(B9="",0,B9)*'❷ 區塊定義'!P25+IF(C9="",0,C9)*'❷ 區塊定義'!P49+IF(D9="",0,D9)*'❷ 區塊定義'!P73+IF(E9="",0,E9)*'❷ 區塊定義'!P97+IF(F9="",0,F9)*'❷ 區塊定義'!P121)</f>
        <v/>
      </c>
      <c r="J9" s="25" t="str">
        <f aca="false">IF(A9="","",IF(B9="",0,B9)*'❷ 區塊定義'!Q25+IF(C9="",0,C9)*'❷ 區塊定義'!Q49+IF(D9="",0,D9)*'❷ 區塊定義'!Q73+IF(E9="",0,E9)*'❷ 區塊定義'!Q97+IF(F9="",0,F9)*'❷ 區塊定義'!Q121)</f>
        <v/>
      </c>
      <c r="K9" s="25" t="str">
        <f aca="false">IF(A9="","",IF(B9="",0,B9)*'❷ 區塊定義'!R25+IF(C9="",0,C9)*'❷ 區塊定義'!R49+IF(D9="",0,D9)*'❷ 區塊定義'!R73+IF(E9="",0,E9)*'❷ 區塊定義'!R97+IF(F9="",0,F9)*'❷ 區塊定義'!R121)</f>
        <v/>
      </c>
      <c r="L9" s="25" t="str">
        <f aca="false">IF(A9="","",H9+I9+J9+K9)</f>
        <v/>
      </c>
      <c r="M9" s="16" t="str">
        <f aca="false">IF(A9="","",IF(B9="",0,B9)*'❷ 區塊定義'!S25+IF(C9="",0,C9)*'❷ 區塊定義'!S49+IF(D9="",0,D9)*'❷ 區塊定義'!S73+IF(E9="",0,E9)*'❷ 區塊定義'!S97+IF(F9="",0,F9)*'❷ 區塊定義'!S121)</f>
        <v/>
      </c>
      <c r="N9" s="16" t="str">
        <f aca="false">IF(A9="","",IF(B9="",0,B9)*'❷ 區塊定義'!T25+IF(C9="",0,C9)*'❷ 區塊定義'!T49+IF(D9="",0,D9)*'❷ 區塊定義'!T73+IF(E9="",0,E9)*'❷ 區塊定義'!T97+IF(F9="",0,F9)*'❷ 區塊定義'!T121)</f>
        <v/>
      </c>
      <c r="O9" s="16" t="str">
        <f aca="false">IF(A9="","",IF(B9="",0,B9)*'❷ 區塊定義'!U25+IF(C9="",0,C9)*'❷ 區塊定義'!U49+IF(D9="",0,D9)*'❷ 區塊定義'!U73+IF(E9="",0,E9)*'❷ 區塊定義'!U97+IF(F9="",0,F9)*'❷ 區塊定義'!U121)</f>
        <v/>
      </c>
      <c r="P9" s="16" t="str">
        <f aca="false">IF(A9="","",IF(B9="",0,B9)*'❷ 區塊定義'!V25+IF(C9="",0,C9)*'❷ 區塊定義'!V49+IF(D9="",0,D9)*'❷ 區塊定義'!V73+IF(E9="",0,E9)*'❷ 區塊定義'!V97+IF(F9="",0,F9)*'❷ 區塊定義'!V121)</f>
        <v/>
      </c>
      <c r="Q9" s="16" t="str">
        <f aca="false">IF(A9="","",IF(B9="",0,B9)*'❷ 區塊定義'!W25+IF(C9="",0,C9)*'❷ 區塊定義'!W49+IF(D9="",0,D9)*'❷ 區塊定義'!W73+IF(E9="",0,E9)*'❷ 區塊定義'!W97+IF(F9="",0,F9)*'❷ 區塊定義'!W121)</f>
        <v/>
      </c>
      <c r="R9" s="16" t="str">
        <f aca="false">IF(A9="","",IF(B9="",0,B9)*'❷ 區塊定義'!X25+IF(C9="",0,C9)*'❷ 區塊定義'!X49+IF(D9="",0,D9)*'❷ 區塊定義'!X73+IF(E9="",0,E9)*'❷ 區塊定義'!X97+IF(F9="",0,F9)*'❷ 區塊定義'!X121)</f>
        <v/>
      </c>
    </row>
    <row r="10" customFormat="false" ht="15" hidden="false" customHeight="true" outlineLevel="0" collapsed="false">
      <c r="A10" s="21"/>
      <c r="B10" s="21"/>
      <c r="C10" s="21"/>
      <c r="D10" s="21"/>
      <c r="E10" s="21"/>
      <c r="F10" s="21"/>
      <c r="G10" s="24" t="str">
        <f aca="false">IF(A10="","",IF(B10="",0,B10)*'❷ 區塊定義'!L25+IF(C10="",0,C10)*'❷ 區塊定義'!L49+IF(D10="",0,D10)*'❷ 區塊定義'!L73+IF(E10="",0,E10)*'❷ 區塊定義'!L97+IF(F10="",0,F10)*'❷ 區塊定義'!L121)</f>
        <v/>
      </c>
      <c r="H10" s="25" t="str">
        <f aca="false">IF(A10="","",IF(B10="",0,B10)*'❷ 區塊定義'!O25+IF(C10="",0,C10)*'❷ 區塊定義'!O49+IF(D10="",0,D10)*'❷ 區塊定義'!O73+IF(E10="",0,E10)*'❷ 區塊定義'!O97+IF(F10="",0,F10)*'❷ 區塊定義'!O121)</f>
        <v/>
      </c>
      <c r="I10" s="25" t="str">
        <f aca="false">IF(A10="","",IF(B10="",0,B10)*'❷ 區塊定義'!P25+IF(C10="",0,C10)*'❷ 區塊定義'!P49+IF(D10="",0,D10)*'❷ 區塊定義'!P73+IF(E10="",0,E10)*'❷ 區塊定義'!P97+IF(F10="",0,F10)*'❷ 區塊定義'!P121)</f>
        <v/>
      </c>
      <c r="J10" s="25" t="str">
        <f aca="false">IF(A10="","",IF(B10="",0,B10)*'❷ 區塊定義'!Q25+IF(C10="",0,C10)*'❷ 區塊定義'!Q49+IF(D10="",0,D10)*'❷ 區塊定義'!Q73+IF(E10="",0,E10)*'❷ 區塊定義'!Q97+IF(F10="",0,F10)*'❷ 區塊定義'!Q121)</f>
        <v/>
      </c>
      <c r="K10" s="25" t="str">
        <f aca="false">IF(A10="","",IF(B10="",0,B10)*'❷ 區塊定義'!R25+IF(C10="",0,C10)*'❷ 區塊定義'!R49+IF(D10="",0,D10)*'❷ 區塊定義'!R73+IF(E10="",0,E10)*'❷ 區塊定義'!R97+IF(F10="",0,F10)*'❷ 區塊定義'!R121)</f>
        <v/>
      </c>
      <c r="L10" s="25" t="str">
        <f aca="false">IF(A10="","",H10+I10+J10+K10)</f>
        <v/>
      </c>
      <c r="M10" s="16" t="str">
        <f aca="false">IF(A10="","",IF(B10="",0,B10)*'❷ 區塊定義'!S25+IF(C10="",0,C10)*'❷ 區塊定義'!S49+IF(D10="",0,D10)*'❷ 區塊定義'!S73+IF(E10="",0,E10)*'❷ 區塊定義'!S97+IF(F10="",0,F10)*'❷ 區塊定義'!S121)</f>
        <v/>
      </c>
      <c r="N10" s="16" t="str">
        <f aca="false">IF(A10="","",IF(B10="",0,B10)*'❷ 區塊定義'!T25+IF(C10="",0,C10)*'❷ 區塊定義'!T49+IF(D10="",0,D10)*'❷ 區塊定義'!T73+IF(E10="",0,E10)*'❷ 區塊定義'!T97+IF(F10="",0,F10)*'❷ 區塊定義'!T121)</f>
        <v/>
      </c>
      <c r="O10" s="16" t="str">
        <f aca="false">IF(A10="","",IF(B10="",0,B10)*'❷ 區塊定義'!U25+IF(C10="",0,C10)*'❷ 區塊定義'!U49+IF(D10="",0,D10)*'❷ 區塊定義'!U73+IF(E10="",0,E10)*'❷ 區塊定義'!U97+IF(F10="",0,F10)*'❷ 區塊定義'!U121)</f>
        <v/>
      </c>
      <c r="P10" s="16" t="str">
        <f aca="false">IF(A10="","",IF(B10="",0,B10)*'❷ 區塊定義'!V25+IF(C10="",0,C10)*'❷ 區塊定義'!V49+IF(D10="",0,D10)*'❷ 區塊定義'!V73+IF(E10="",0,E10)*'❷ 區塊定義'!V97+IF(F10="",0,F10)*'❷ 區塊定義'!V121)</f>
        <v/>
      </c>
      <c r="Q10" s="16" t="str">
        <f aca="false">IF(A10="","",IF(B10="",0,B10)*'❷ 區塊定義'!W25+IF(C10="",0,C10)*'❷ 區塊定義'!W49+IF(D10="",0,D10)*'❷ 區塊定義'!W73+IF(E10="",0,E10)*'❷ 區塊定義'!W97+IF(F10="",0,F10)*'❷ 區塊定義'!W121)</f>
        <v/>
      </c>
      <c r="R10" s="16" t="str">
        <f aca="false">IF(A10="","",IF(B10="",0,B10)*'❷ 區塊定義'!X25+IF(C10="",0,C10)*'❷ 區塊定義'!X49+IF(D10="",0,D10)*'❷ 區塊定義'!X73+IF(E10="",0,E10)*'❷ 區塊定義'!X97+IF(F10="",0,F10)*'❷ 區塊定義'!X121)</f>
        <v/>
      </c>
    </row>
    <row r="11" customFormat="false" ht="15" hidden="false" customHeight="true" outlineLevel="0" collapsed="false">
      <c r="A11" s="21"/>
      <c r="B11" s="21"/>
      <c r="C11" s="21"/>
      <c r="D11" s="21"/>
      <c r="E11" s="21"/>
      <c r="F11" s="21"/>
      <c r="G11" s="24" t="str">
        <f aca="false">IF(A11="","",IF(B11="",0,B11)*'❷ 區塊定義'!L25+IF(C11="",0,C11)*'❷ 區塊定義'!L49+IF(D11="",0,D11)*'❷ 區塊定義'!L73+IF(E11="",0,E11)*'❷ 區塊定義'!L97+IF(F11="",0,F11)*'❷ 區塊定義'!L121)</f>
        <v/>
      </c>
      <c r="H11" s="25" t="str">
        <f aca="false">IF(A11="","",IF(B11="",0,B11)*'❷ 區塊定義'!O25+IF(C11="",0,C11)*'❷ 區塊定義'!O49+IF(D11="",0,D11)*'❷ 區塊定義'!O73+IF(E11="",0,E11)*'❷ 區塊定義'!O97+IF(F11="",0,F11)*'❷ 區塊定義'!O121)</f>
        <v/>
      </c>
      <c r="I11" s="25" t="str">
        <f aca="false">IF(A11="","",IF(B11="",0,B11)*'❷ 區塊定義'!P25+IF(C11="",0,C11)*'❷ 區塊定義'!P49+IF(D11="",0,D11)*'❷ 區塊定義'!P73+IF(E11="",0,E11)*'❷ 區塊定義'!P97+IF(F11="",0,F11)*'❷ 區塊定義'!P121)</f>
        <v/>
      </c>
      <c r="J11" s="25" t="str">
        <f aca="false">IF(A11="","",IF(B11="",0,B11)*'❷ 區塊定義'!Q25+IF(C11="",0,C11)*'❷ 區塊定義'!Q49+IF(D11="",0,D11)*'❷ 區塊定義'!Q73+IF(E11="",0,E11)*'❷ 區塊定義'!Q97+IF(F11="",0,F11)*'❷ 區塊定義'!Q121)</f>
        <v/>
      </c>
      <c r="K11" s="25" t="str">
        <f aca="false">IF(A11="","",IF(B11="",0,B11)*'❷ 區塊定義'!R25+IF(C11="",0,C11)*'❷ 區塊定義'!R49+IF(D11="",0,D11)*'❷ 區塊定義'!R73+IF(E11="",0,E11)*'❷ 區塊定義'!R97+IF(F11="",0,F11)*'❷ 區塊定義'!R121)</f>
        <v/>
      </c>
      <c r="L11" s="25" t="str">
        <f aca="false">IF(A11="","",H11+I11+J11+K11)</f>
        <v/>
      </c>
      <c r="M11" s="16" t="str">
        <f aca="false">IF(A11="","",IF(B11="",0,B11)*'❷ 區塊定義'!S25+IF(C11="",0,C11)*'❷ 區塊定義'!S49+IF(D11="",0,D11)*'❷ 區塊定義'!S73+IF(E11="",0,E11)*'❷ 區塊定義'!S97+IF(F11="",0,F11)*'❷ 區塊定義'!S121)</f>
        <v/>
      </c>
      <c r="N11" s="16" t="str">
        <f aca="false">IF(A11="","",IF(B11="",0,B11)*'❷ 區塊定義'!T25+IF(C11="",0,C11)*'❷ 區塊定義'!T49+IF(D11="",0,D11)*'❷ 區塊定義'!T73+IF(E11="",0,E11)*'❷ 區塊定義'!T97+IF(F11="",0,F11)*'❷ 區塊定義'!T121)</f>
        <v/>
      </c>
      <c r="O11" s="16" t="str">
        <f aca="false">IF(A11="","",IF(B11="",0,B11)*'❷ 區塊定義'!U25+IF(C11="",0,C11)*'❷ 區塊定義'!U49+IF(D11="",0,D11)*'❷ 區塊定義'!U73+IF(E11="",0,E11)*'❷ 區塊定義'!U97+IF(F11="",0,F11)*'❷ 區塊定義'!U121)</f>
        <v/>
      </c>
      <c r="P11" s="16" t="str">
        <f aca="false">IF(A11="","",IF(B11="",0,B11)*'❷ 區塊定義'!V25+IF(C11="",0,C11)*'❷ 區塊定義'!V49+IF(D11="",0,D11)*'❷ 區塊定義'!V73+IF(E11="",0,E11)*'❷ 區塊定義'!V97+IF(F11="",0,F11)*'❷ 區塊定義'!V121)</f>
        <v/>
      </c>
      <c r="Q11" s="16" t="str">
        <f aca="false">IF(A11="","",IF(B11="",0,B11)*'❷ 區塊定義'!W25+IF(C11="",0,C11)*'❷ 區塊定義'!W49+IF(D11="",0,D11)*'❷ 區塊定義'!W73+IF(E11="",0,E11)*'❷ 區塊定義'!W97+IF(F11="",0,F11)*'❷ 區塊定義'!W121)</f>
        <v/>
      </c>
      <c r="R11" s="16" t="str">
        <f aca="false">IF(A11="","",IF(B11="",0,B11)*'❷ 區塊定義'!X25+IF(C11="",0,C11)*'❷ 區塊定義'!X49+IF(D11="",0,D11)*'❷ 區塊定義'!X73+IF(E11="",0,E11)*'❷ 區塊定義'!X97+IF(F11="",0,F11)*'❷ 區塊定義'!X121)</f>
        <v/>
      </c>
    </row>
    <row r="12" customFormat="false" ht="15" hidden="false" customHeight="true" outlineLevel="0" collapsed="false">
      <c r="A12" s="21"/>
      <c r="B12" s="21"/>
      <c r="C12" s="21"/>
      <c r="D12" s="21"/>
      <c r="E12" s="21"/>
      <c r="F12" s="21"/>
      <c r="G12" s="24" t="str">
        <f aca="false">IF(A12="","",IF(B12="",0,B12)*'❷ 區塊定義'!L25+IF(C12="",0,C12)*'❷ 區塊定義'!L49+IF(D12="",0,D12)*'❷ 區塊定義'!L73+IF(E12="",0,E12)*'❷ 區塊定義'!L97+IF(F12="",0,F12)*'❷ 區塊定義'!L121)</f>
        <v/>
      </c>
      <c r="H12" s="25" t="str">
        <f aca="false">IF(A12="","",IF(B12="",0,B12)*'❷ 區塊定義'!O25+IF(C12="",0,C12)*'❷ 區塊定義'!O49+IF(D12="",0,D12)*'❷ 區塊定義'!O73+IF(E12="",0,E12)*'❷ 區塊定義'!O97+IF(F12="",0,F12)*'❷ 區塊定義'!O121)</f>
        <v/>
      </c>
      <c r="I12" s="25" t="str">
        <f aca="false">IF(A12="","",IF(B12="",0,B12)*'❷ 區塊定義'!P25+IF(C12="",0,C12)*'❷ 區塊定義'!P49+IF(D12="",0,D12)*'❷ 區塊定義'!P73+IF(E12="",0,E12)*'❷ 區塊定義'!P97+IF(F12="",0,F12)*'❷ 區塊定義'!P121)</f>
        <v/>
      </c>
      <c r="J12" s="25" t="str">
        <f aca="false">IF(A12="","",IF(B12="",0,B12)*'❷ 區塊定義'!Q25+IF(C12="",0,C12)*'❷ 區塊定義'!Q49+IF(D12="",0,D12)*'❷ 區塊定義'!Q73+IF(E12="",0,E12)*'❷ 區塊定義'!Q97+IF(F12="",0,F12)*'❷ 區塊定義'!Q121)</f>
        <v/>
      </c>
      <c r="K12" s="25" t="str">
        <f aca="false">IF(A12="","",IF(B12="",0,B12)*'❷ 區塊定義'!R25+IF(C12="",0,C12)*'❷ 區塊定義'!R49+IF(D12="",0,D12)*'❷ 區塊定義'!R73+IF(E12="",0,E12)*'❷ 區塊定義'!R97+IF(F12="",0,F12)*'❷ 區塊定義'!R121)</f>
        <v/>
      </c>
      <c r="L12" s="25" t="str">
        <f aca="false">IF(A12="","",H12+I12+J12+K12)</f>
        <v/>
      </c>
      <c r="M12" s="16" t="str">
        <f aca="false">IF(A12="","",IF(B12="",0,B12)*'❷ 區塊定義'!S25+IF(C12="",0,C12)*'❷ 區塊定義'!S49+IF(D12="",0,D12)*'❷ 區塊定義'!S73+IF(E12="",0,E12)*'❷ 區塊定義'!S97+IF(F12="",0,F12)*'❷ 區塊定義'!S121)</f>
        <v/>
      </c>
      <c r="N12" s="16" t="str">
        <f aca="false">IF(A12="","",IF(B12="",0,B12)*'❷ 區塊定義'!T25+IF(C12="",0,C12)*'❷ 區塊定義'!T49+IF(D12="",0,D12)*'❷ 區塊定義'!T73+IF(E12="",0,E12)*'❷ 區塊定義'!T97+IF(F12="",0,F12)*'❷ 區塊定義'!T121)</f>
        <v/>
      </c>
      <c r="O12" s="16" t="str">
        <f aca="false">IF(A12="","",IF(B12="",0,B12)*'❷ 區塊定義'!U25+IF(C12="",0,C12)*'❷ 區塊定義'!U49+IF(D12="",0,D12)*'❷ 區塊定義'!U73+IF(E12="",0,E12)*'❷ 區塊定義'!U97+IF(F12="",0,F12)*'❷ 區塊定義'!U121)</f>
        <v/>
      </c>
      <c r="P12" s="16" t="str">
        <f aca="false">IF(A12="","",IF(B12="",0,B12)*'❷ 區塊定義'!V25+IF(C12="",0,C12)*'❷ 區塊定義'!V49+IF(D12="",0,D12)*'❷ 區塊定義'!V73+IF(E12="",0,E12)*'❷ 區塊定義'!V97+IF(F12="",0,F12)*'❷ 區塊定義'!V121)</f>
        <v/>
      </c>
      <c r="Q12" s="16" t="str">
        <f aca="false">IF(A12="","",IF(B12="",0,B12)*'❷ 區塊定義'!W25+IF(C12="",0,C12)*'❷ 區塊定義'!W49+IF(D12="",0,D12)*'❷ 區塊定義'!W73+IF(E12="",0,E12)*'❷ 區塊定義'!W97+IF(F12="",0,F12)*'❷ 區塊定義'!W121)</f>
        <v/>
      </c>
      <c r="R12" s="16" t="str">
        <f aca="false">IF(A12="","",IF(B12="",0,B12)*'❷ 區塊定義'!X25+IF(C12="",0,C12)*'❷ 區塊定義'!X49+IF(D12="",0,D12)*'❷ 區塊定義'!X73+IF(E12="",0,E12)*'❷ 區塊定義'!X97+IF(F12="",0,F12)*'❷ 區塊定義'!X121)</f>
        <v/>
      </c>
    </row>
    <row r="13" customFormat="false" ht="15" hidden="false" customHeight="true" outlineLevel="0" collapsed="false">
      <c r="A13" s="21"/>
      <c r="B13" s="21"/>
      <c r="C13" s="21"/>
      <c r="D13" s="21"/>
      <c r="E13" s="21"/>
      <c r="F13" s="21"/>
      <c r="G13" s="24" t="str">
        <f aca="false">IF(A13="","",IF(B13="",0,B13)*'❷ 區塊定義'!L25+IF(C13="",0,C13)*'❷ 區塊定義'!L49+IF(D13="",0,D13)*'❷ 區塊定義'!L73+IF(E13="",0,E13)*'❷ 區塊定義'!L97+IF(F13="",0,F13)*'❷ 區塊定義'!L121)</f>
        <v/>
      </c>
      <c r="H13" s="25" t="str">
        <f aca="false">IF(A13="","",IF(B13="",0,B13)*'❷ 區塊定義'!O25+IF(C13="",0,C13)*'❷ 區塊定義'!O49+IF(D13="",0,D13)*'❷ 區塊定義'!O73+IF(E13="",0,E13)*'❷ 區塊定義'!O97+IF(F13="",0,F13)*'❷ 區塊定義'!O121)</f>
        <v/>
      </c>
      <c r="I13" s="25" t="str">
        <f aca="false">IF(A13="","",IF(B13="",0,B13)*'❷ 區塊定義'!P25+IF(C13="",0,C13)*'❷ 區塊定義'!P49+IF(D13="",0,D13)*'❷ 區塊定義'!P73+IF(E13="",0,E13)*'❷ 區塊定義'!P97+IF(F13="",0,F13)*'❷ 區塊定義'!P121)</f>
        <v/>
      </c>
      <c r="J13" s="25" t="str">
        <f aca="false">IF(A13="","",IF(B13="",0,B13)*'❷ 區塊定義'!Q25+IF(C13="",0,C13)*'❷ 區塊定義'!Q49+IF(D13="",0,D13)*'❷ 區塊定義'!Q73+IF(E13="",0,E13)*'❷ 區塊定義'!Q97+IF(F13="",0,F13)*'❷ 區塊定義'!Q121)</f>
        <v/>
      </c>
      <c r="K13" s="25" t="str">
        <f aca="false">IF(A13="","",IF(B13="",0,B13)*'❷ 區塊定義'!R25+IF(C13="",0,C13)*'❷ 區塊定義'!R49+IF(D13="",0,D13)*'❷ 區塊定義'!R73+IF(E13="",0,E13)*'❷ 區塊定義'!R97+IF(F13="",0,F13)*'❷ 區塊定義'!R121)</f>
        <v/>
      </c>
      <c r="L13" s="25" t="str">
        <f aca="false">IF(A13="","",H13+I13+J13+K13)</f>
        <v/>
      </c>
      <c r="M13" s="16" t="str">
        <f aca="false">IF(A13="","",IF(B13="",0,B13)*'❷ 區塊定義'!S25+IF(C13="",0,C13)*'❷ 區塊定義'!S49+IF(D13="",0,D13)*'❷ 區塊定義'!S73+IF(E13="",0,E13)*'❷ 區塊定義'!S97+IF(F13="",0,F13)*'❷ 區塊定義'!S121)</f>
        <v/>
      </c>
      <c r="N13" s="16" t="str">
        <f aca="false">IF(A13="","",IF(B13="",0,B13)*'❷ 區塊定義'!T25+IF(C13="",0,C13)*'❷ 區塊定義'!T49+IF(D13="",0,D13)*'❷ 區塊定義'!T73+IF(E13="",0,E13)*'❷ 區塊定義'!T97+IF(F13="",0,F13)*'❷ 區塊定義'!T121)</f>
        <v/>
      </c>
      <c r="O13" s="16" t="str">
        <f aca="false">IF(A13="","",IF(B13="",0,B13)*'❷ 區塊定義'!U25+IF(C13="",0,C13)*'❷ 區塊定義'!U49+IF(D13="",0,D13)*'❷ 區塊定義'!U73+IF(E13="",0,E13)*'❷ 區塊定義'!U97+IF(F13="",0,F13)*'❷ 區塊定義'!U121)</f>
        <v/>
      </c>
      <c r="P13" s="16" t="str">
        <f aca="false">IF(A13="","",IF(B13="",0,B13)*'❷ 區塊定義'!V25+IF(C13="",0,C13)*'❷ 區塊定義'!V49+IF(D13="",0,D13)*'❷ 區塊定義'!V73+IF(E13="",0,E13)*'❷ 區塊定義'!V97+IF(F13="",0,F13)*'❷ 區塊定義'!V121)</f>
        <v/>
      </c>
      <c r="Q13" s="16" t="str">
        <f aca="false">IF(A13="","",IF(B13="",0,B13)*'❷ 區塊定義'!W25+IF(C13="",0,C13)*'❷ 區塊定義'!W49+IF(D13="",0,D13)*'❷ 區塊定義'!W73+IF(E13="",0,E13)*'❷ 區塊定義'!W97+IF(F13="",0,F13)*'❷ 區塊定義'!W121)</f>
        <v/>
      </c>
      <c r="R13" s="16" t="str">
        <f aca="false">IF(A13="","",IF(B13="",0,B13)*'❷ 區塊定義'!X25+IF(C13="",0,C13)*'❷ 區塊定義'!X49+IF(D13="",0,D13)*'❷ 區塊定義'!X73+IF(E13="",0,E13)*'❷ 區塊定義'!X97+IF(F13="",0,F13)*'❷ 區塊定義'!X121)</f>
        <v/>
      </c>
    </row>
    <row r="14" customFormat="false" ht="15" hidden="false" customHeight="true" outlineLevel="0" collapsed="false">
      <c r="A14" s="21"/>
      <c r="B14" s="21"/>
      <c r="C14" s="21"/>
      <c r="D14" s="21"/>
      <c r="E14" s="21"/>
      <c r="F14" s="21"/>
      <c r="G14" s="24" t="str">
        <f aca="false">IF(A14="","",IF(B14="",0,B14)*'❷ 區塊定義'!L25+IF(C14="",0,C14)*'❷ 區塊定義'!L49+IF(D14="",0,D14)*'❷ 區塊定義'!L73+IF(E14="",0,E14)*'❷ 區塊定義'!L97+IF(F14="",0,F14)*'❷ 區塊定義'!L121)</f>
        <v/>
      </c>
      <c r="H14" s="25" t="str">
        <f aca="false">IF(A14="","",IF(B14="",0,B14)*'❷ 區塊定義'!O25+IF(C14="",0,C14)*'❷ 區塊定義'!O49+IF(D14="",0,D14)*'❷ 區塊定義'!O73+IF(E14="",0,E14)*'❷ 區塊定義'!O97+IF(F14="",0,F14)*'❷ 區塊定義'!O121)</f>
        <v/>
      </c>
      <c r="I14" s="25" t="str">
        <f aca="false">IF(A14="","",IF(B14="",0,B14)*'❷ 區塊定義'!P25+IF(C14="",0,C14)*'❷ 區塊定義'!P49+IF(D14="",0,D14)*'❷ 區塊定義'!P73+IF(E14="",0,E14)*'❷ 區塊定義'!P97+IF(F14="",0,F14)*'❷ 區塊定義'!P121)</f>
        <v/>
      </c>
      <c r="J14" s="25" t="str">
        <f aca="false">IF(A14="","",IF(B14="",0,B14)*'❷ 區塊定義'!Q25+IF(C14="",0,C14)*'❷ 區塊定義'!Q49+IF(D14="",0,D14)*'❷ 區塊定義'!Q73+IF(E14="",0,E14)*'❷ 區塊定義'!Q97+IF(F14="",0,F14)*'❷ 區塊定義'!Q121)</f>
        <v/>
      </c>
      <c r="K14" s="25" t="str">
        <f aca="false">IF(A14="","",IF(B14="",0,B14)*'❷ 區塊定義'!R25+IF(C14="",0,C14)*'❷ 區塊定義'!R49+IF(D14="",0,D14)*'❷ 區塊定義'!R73+IF(E14="",0,E14)*'❷ 區塊定義'!R97+IF(F14="",0,F14)*'❷ 區塊定義'!R121)</f>
        <v/>
      </c>
      <c r="L14" s="25" t="str">
        <f aca="false">IF(A14="","",H14+I14+J14+K14)</f>
        <v/>
      </c>
      <c r="M14" s="16" t="str">
        <f aca="false">IF(A14="","",IF(B14="",0,B14)*'❷ 區塊定義'!S25+IF(C14="",0,C14)*'❷ 區塊定義'!S49+IF(D14="",0,D14)*'❷ 區塊定義'!S73+IF(E14="",0,E14)*'❷ 區塊定義'!S97+IF(F14="",0,F14)*'❷ 區塊定義'!S121)</f>
        <v/>
      </c>
      <c r="N14" s="16" t="str">
        <f aca="false">IF(A14="","",IF(B14="",0,B14)*'❷ 區塊定義'!T25+IF(C14="",0,C14)*'❷ 區塊定義'!T49+IF(D14="",0,D14)*'❷ 區塊定義'!T73+IF(E14="",0,E14)*'❷ 區塊定義'!T97+IF(F14="",0,F14)*'❷ 區塊定義'!T121)</f>
        <v/>
      </c>
      <c r="O14" s="16" t="str">
        <f aca="false">IF(A14="","",IF(B14="",0,B14)*'❷ 區塊定義'!U25+IF(C14="",0,C14)*'❷ 區塊定義'!U49+IF(D14="",0,D14)*'❷ 區塊定義'!U73+IF(E14="",0,E14)*'❷ 區塊定義'!U97+IF(F14="",0,F14)*'❷ 區塊定義'!U121)</f>
        <v/>
      </c>
      <c r="P14" s="16" t="str">
        <f aca="false">IF(A14="","",IF(B14="",0,B14)*'❷ 區塊定義'!V25+IF(C14="",0,C14)*'❷ 區塊定義'!V49+IF(D14="",0,D14)*'❷ 區塊定義'!V73+IF(E14="",0,E14)*'❷ 區塊定義'!V97+IF(F14="",0,F14)*'❷ 區塊定義'!V121)</f>
        <v/>
      </c>
      <c r="Q14" s="16" t="str">
        <f aca="false">IF(A14="","",IF(B14="",0,B14)*'❷ 區塊定義'!W25+IF(C14="",0,C14)*'❷ 區塊定義'!W49+IF(D14="",0,D14)*'❷ 區塊定義'!W73+IF(E14="",0,E14)*'❷ 區塊定義'!W97+IF(F14="",0,F14)*'❷ 區塊定義'!W121)</f>
        <v/>
      </c>
      <c r="R14" s="16" t="str">
        <f aca="false">IF(A14="","",IF(B14="",0,B14)*'❷ 區塊定義'!X25+IF(C14="",0,C14)*'❷ 區塊定義'!X49+IF(D14="",0,D14)*'❷ 區塊定義'!X73+IF(E14="",0,E14)*'❷ 區塊定義'!X97+IF(F14="",0,F14)*'❷ 區塊定義'!X121)</f>
        <v/>
      </c>
    </row>
    <row r="15" customFormat="false" ht="15" hidden="false" customHeight="true" outlineLevel="0" collapsed="false">
      <c r="A15" s="21"/>
      <c r="B15" s="21"/>
      <c r="C15" s="21"/>
      <c r="D15" s="21"/>
      <c r="E15" s="21"/>
      <c r="F15" s="21"/>
      <c r="G15" s="24" t="str">
        <f aca="false">IF(A15="","",IF(B15="",0,B15)*'❷ 區塊定義'!L25+IF(C15="",0,C15)*'❷ 區塊定義'!L49+IF(D15="",0,D15)*'❷ 區塊定義'!L73+IF(E15="",0,E15)*'❷ 區塊定義'!L97+IF(F15="",0,F15)*'❷ 區塊定義'!L121)</f>
        <v/>
      </c>
      <c r="H15" s="25" t="str">
        <f aca="false">IF(A15="","",IF(B15="",0,B15)*'❷ 區塊定義'!O25+IF(C15="",0,C15)*'❷ 區塊定義'!O49+IF(D15="",0,D15)*'❷ 區塊定義'!O73+IF(E15="",0,E15)*'❷ 區塊定義'!O97+IF(F15="",0,F15)*'❷ 區塊定義'!O121)</f>
        <v/>
      </c>
      <c r="I15" s="25" t="str">
        <f aca="false">IF(A15="","",IF(B15="",0,B15)*'❷ 區塊定義'!P25+IF(C15="",0,C15)*'❷ 區塊定義'!P49+IF(D15="",0,D15)*'❷ 區塊定義'!P73+IF(E15="",0,E15)*'❷ 區塊定義'!P97+IF(F15="",0,F15)*'❷ 區塊定義'!P121)</f>
        <v/>
      </c>
      <c r="J15" s="25" t="str">
        <f aca="false">IF(A15="","",IF(B15="",0,B15)*'❷ 區塊定義'!Q25+IF(C15="",0,C15)*'❷ 區塊定義'!Q49+IF(D15="",0,D15)*'❷ 區塊定義'!Q73+IF(E15="",0,E15)*'❷ 區塊定義'!Q97+IF(F15="",0,F15)*'❷ 區塊定義'!Q121)</f>
        <v/>
      </c>
      <c r="K15" s="25" t="str">
        <f aca="false">IF(A15="","",IF(B15="",0,B15)*'❷ 區塊定義'!R25+IF(C15="",0,C15)*'❷ 區塊定義'!R49+IF(D15="",0,D15)*'❷ 區塊定義'!R73+IF(E15="",0,E15)*'❷ 區塊定義'!R97+IF(F15="",0,F15)*'❷ 區塊定義'!R121)</f>
        <v/>
      </c>
      <c r="L15" s="25" t="str">
        <f aca="false">IF(A15="","",H15+I15+J15+K15)</f>
        <v/>
      </c>
      <c r="M15" s="16" t="str">
        <f aca="false">IF(A15="","",IF(B15="",0,B15)*'❷ 區塊定義'!S25+IF(C15="",0,C15)*'❷ 區塊定義'!S49+IF(D15="",0,D15)*'❷ 區塊定義'!S73+IF(E15="",0,E15)*'❷ 區塊定義'!S97+IF(F15="",0,F15)*'❷ 區塊定義'!S121)</f>
        <v/>
      </c>
      <c r="N15" s="16" t="str">
        <f aca="false">IF(A15="","",IF(B15="",0,B15)*'❷ 區塊定義'!T25+IF(C15="",0,C15)*'❷ 區塊定義'!T49+IF(D15="",0,D15)*'❷ 區塊定義'!T73+IF(E15="",0,E15)*'❷ 區塊定義'!T97+IF(F15="",0,F15)*'❷ 區塊定義'!T121)</f>
        <v/>
      </c>
      <c r="O15" s="16" t="str">
        <f aca="false">IF(A15="","",IF(B15="",0,B15)*'❷ 區塊定義'!U25+IF(C15="",0,C15)*'❷ 區塊定義'!U49+IF(D15="",0,D15)*'❷ 區塊定義'!U73+IF(E15="",0,E15)*'❷ 區塊定義'!U97+IF(F15="",0,F15)*'❷ 區塊定義'!U121)</f>
        <v/>
      </c>
      <c r="P15" s="16" t="str">
        <f aca="false">IF(A15="","",IF(B15="",0,B15)*'❷ 區塊定義'!V25+IF(C15="",0,C15)*'❷ 區塊定義'!V49+IF(D15="",0,D15)*'❷ 區塊定義'!V73+IF(E15="",0,E15)*'❷ 區塊定義'!V97+IF(F15="",0,F15)*'❷ 區塊定義'!V121)</f>
        <v/>
      </c>
      <c r="Q15" s="16" t="str">
        <f aca="false">IF(A15="","",IF(B15="",0,B15)*'❷ 區塊定義'!W25+IF(C15="",0,C15)*'❷ 區塊定義'!W49+IF(D15="",0,D15)*'❷ 區塊定義'!W73+IF(E15="",0,E15)*'❷ 區塊定義'!W97+IF(F15="",0,F15)*'❷ 區塊定義'!W121)</f>
        <v/>
      </c>
      <c r="R15" s="16" t="str">
        <f aca="false">IF(A15="","",IF(B15="",0,B15)*'❷ 區塊定義'!X25+IF(C15="",0,C15)*'❷ 區塊定義'!X49+IF(D15="",0,D15)*'❷ 區塊定義'!X73+IF(E15="",0,E15)*'❷ 區塊定義'!X97+IF(F15="",0,F15)*'❷ 區塊定義'!X121)</f>
        <v/>
      </c>
    </row>
    <row r="16" customFormat="false" ht="15" hidden="false" customHeight="true" outlineLevel="0" collapsed="false">
      <c r="A16" s="21"/>
      <c r="B16" s="21"/>
      <c r="C16" s="21"/>
      <c r="D16" s="21"/>
      <c r="E16" s="21"/>
      <c r="F16" s="21"/>
      <c r="G16" s="24" t="str">
        <f aca="false">IF(A16="","",IF(B16="",0,B16)*'❷ 區塊定義'!L25+IF(C16="",0,C16)*'❷ 區塊定義'!L49+IF(D16="",0,D16)*'❷ 區塊定義'!L73+IF(E16="",0,E16)*'❷ 區塊定義'!L97+IF(F16="",0,F16)*'❷ 區塊定義'!L121)</f>
        <v/>
      </c>
      <c r="H16" s="25" t="str">
        <f aca="false">IF(A16="","",IF(B16="",0,B16)*'❷ 區塊定義'!O25+IF(C16="",0,C16)*'❷ 區塊定義'!O49+IF(D16="",0,D16)*'❷ 區塊定義'!O73+IF(E16="",0,E16)*'❷ 區塊定義'!O97+IF(F16="",0,F16)*'❷ 區塊定義'!O121)</f>
        <v/>
      </c>
      <c r="I16" s="25" t="str">
        <f aca="false">IF(A16="","",IF(B16="",0,B16)*'❷ 區塊定義'!P25+IF(C16="",0,C16)*'❷ 區塊定義'!P49+IF(D16="",0,D16)*'❷ 區塊定義'!P73+IF(E16="",0,E16)*'❷ 區塊定義'!P97+IF(F16="",0,F16)*'❷ 區塊定義'!P121)</f>
        <v/>
      </c>
      <c r="J16" s="25" t="str">
        <f aca="false">IF(A16="","",IF(B16="",0,B16)*'❷ 區塊定義'!Q25+IF(C16="",0,C16)*'❷ 區塊定義'!Q49+IF(D16="",0,D16)*'❷ 區塊定義'!Q73+IF(E16="",0,E16)*'❷ 區塊定義'!Q97+IF(F16="",0,F16)*'❷ 區塊定義'!Q121)</f>
        <v/>
      </c>
      <c r="K16" s="25" t="str">
        <f aca="false">IF(A16="","",IF(B16="",0,B16)*'❷ 區塊定義'!R25+IF(C16="",0,C16)*'❷ 區塊定義'!R49+IF(D16="",0,D16)*'❷ 區塊定義'!R73+IF(E16="",0,E16)*'❷ 區塊定義'!R97+IF(F16="",0,F16)*'❷ 區塊定義'!R121)</f>
        <v/>
      </c>
      <c r="L16" s="25" t="str">
        <f aca="false">IF(A16="","",H16+I16+J16+K16)</f>
        <v/>
      </c>
      <c r="M16" s="16" t="str">
        <f aca="false">IF(A16="","",IF(B16="",0,B16)*'❷ 區塊定義'!S25+IF(C16="",0,C16)*'❷ 區塊定義'!S49+IF(D16="",0,D16)*'❷ 區塊定義'!S73+IF(E16="",0,E16)*'❷ 區塊定義'!S97+IF(F16="",0,F16)*'❷ 區塊定義'!S121)</f>
        <v/>
      </c>
      <c r="N16" s="16" t="str">
        <f aca="false">IF(A16="","",IF(B16="",0,B16)*'❷ 區塊定義'!T25+IF(C16="",0,C16)*'❷ 區塊定義'!T49+IF(D16="",0,D16)*'❷ 區塊定義'!T73+IF(E16="",0,E16)*'❷ 區塊定義'!T97+IF(F16="",0,F16)*'❷ 區塊定義'!T121)</f>
        <v/>
      </c>
      <c r="O16" s="16" t="str">
        <f aca="false">IF(A16="","",IF(B16="",0,B16)*'❷ 區塊定義'!U25+IF(C16="",0,C16)*'❷ 區塊定義'!U49+IF(D16="",0,D16)*'❷ 區塊定義'!U73+IF(E16="",0,E16)*'❷ 區塊定義'!U97+IF(F16="",0,F16)*'❷ 區塊定義'!U121)</f>
        <v/>
      </c>
      <c r="P16" s="16" t="str">
        <f aca="false">IF(A16="","",IF(B16="",0,B16)*'❷ 區塊定義'!V25+IF(C16="",0,C16)*'❷ 區塊定義'!V49+IF(D16="",0,D16)*'❷ 區塊定義'!V73+IF(E16="",0,E16)*'❷ 區塊定義'!V97+IF(F16="",0,F16)*'❷ 區塊定義'!V121)</f>
        <v/>
      </c>
      <c r="Q16" s="16" t="str">
        <f aca="false">IF(A16="","",IF(B16="",0,B16)*'❷ 區塊定義'!W25+IF(C16="",0,C16)*'❷ 區塊定義'!W49+IF(D16="",0,D16)*'❷ 區塊定義'!W73+IF(E16="",0,E16)*'❷ 區塊定義'!W97+IF(F16="",0,F16)*'❷ 區塊定義'!W121)</f>
        <v/>
      </c>
      <c r="R16" s="16" t="str">
        <f aca="false">IF(A16="","",IF(B16="",0,B16)*'❷ 區塊定義'!X25+IF(C16="",0,C16)*'❷ 區塊定義'!X49+IF(D16="",0,D16)*'❷ 區塊定義'!X73+IF(E16="",0,E16)*'❷ 區塊定義'!X97+IF(F16="",0,F16)*'❷ 區塊定義'!X121)</f>
        <v/>
      </c>
    </row>
    <row r="17" customFormat="false" ht="15" hidden="false" customHeight="true" outlineLevel="0" collapsed="false">
      <c r="A17" s="21"/>
      <c r="B17" s="21"/>
      <c r="C17" s="21"/>
      <c r="D17" s="21"/>
      <c r="E17" s="21"/>
      <c r="F17" s="21"/>
      <c r="G17" s="24" t="str">
        <f aca="false">IF(A17="","",IF(B17="",0,B17)*'❷ 區塊定義'!L25+IF(C17="",0,C17)*'❷ 區塊定義'!L49+IF(D17="",0,D17)*'❷ 區塊定義'!L73+IF(E17="",0,E17)*'❷ 區塊定義'!L97+IF(F17="",0,F17)*'❷ 區塊定義'!L121)</f>
        <v/>
      </c>
      <c r="H17" s="25" t="str">
        <f aca="false">IF(A17="","",IF(B17="",0,B17)*'❷ 區塊定義'!O25+IF(C17="",0,C17)*'❷ 區塊定義'!O49+IF(D17="",0,D17)*'❷ 區塊定義'!O73+IF(E17="",0,E17)*'❷ 區塊定義'!O97+IF(F17="",0,F17)*'❷ 區塊定義'!O121)</f>
        <v/>
      </c>
      <c r="I17" s="25" t="str">
        <f aca="false">IF(A17="","",IF(B17="",0,B17)*'❷ 區塊定義'!P25+IF(C17="",0,C17)*'❷ 區塊定義'!P49+IF(D17="",0,D17)*'❷ 區塊定義'!P73+IF(E17="",0,E17)*'❷ 區塊定義'!P97+IF(F17="",0,F17)*'❷ 區塊定義'!P121)</f>
        <v/>
      </c>
      <c r="J17" s="25" t="str">
        <f aca="false">IF(A17="","",IF(B17="",0,B17)*'❷ 區塊定義'!Q25+IF(C17="",0,C17)*'❷ 區塊定義'!Q49+IF(D17="",0,D17)*'❷ 區塊定義'!Q73+IF(E17="",0,E17)*'❷ 區塊定義'!Q97+IF(F17="",0,F17)*'❷ 區塊定義'!Q121)</f>
        <v/>
      </c>
      <c r="K17" s="25" t="str">
        <f aca="false">IF(A17="","",IF(B17="",0,B17)*'❷ 區塊定義'!R25+IF(C17="",0,C17)*'❷ 區塊定義'!R49+IF(D17="",0,D17)*'❷ 區塊定義'!R73+IF(E17="",0,E17)*'❷ 區塊定義'!R97+IF(F17="",0,F17)*'❷ 區塊定義'!R121)</f>
        <v/>
      </c>
      <c r="L17" s="25" t="str">
        <f aca="false">IF(A17="","",H17+I17+J17+K17)</f>
        <v/>
      </c>
      <c r="M17" s="16" t="str">
        <f aca="false">IF(A17="","",IF(B17="",0,B17)*'❷ 區塊定義'!S25+IF(C17="",0,C17)*'❷ 區塊定義'!S49+IF(D17="",0,D17)*'❷ 區塊定義'!S73+IF(E17="",0,E17)*'❷ 區塊定義'!S97+IF(F17="",0,F17)*'❷ 區塊定義'!S121)</f>
        <v/>
      </c>
      <c r="N17" s="16" t="str">
        <f aca="false">IF(A17="","",IF(B17="",0,B17)*'❷ 區塊定義'!T25+IF(C17="",0,C17)*'❷ 區塊定義'!T49+IF(D17="",0,D17)*'❷ 區塊定義'!T73+IF(E17="",0,E17)*'❷ 區塊定義'!T97+IF(F17="",0,F17)*'❷ 區塊定義'!T121)</f>
        <v/>
      </c>
      <c r="O17" s="16" t="str">
        <f aca="false">IF(A17="","",IF(B17="",0,B17)*'❷ 區塊定義'!U25+IF(C17="",0,C17)*'❷ 區塊定義'!U49+IF(D17="",0,D17)*'❷ 區塊定義'!U73+IF(E17="",0,E17)*'❷ 區塊定義'!U97+IF(F17="",0,F17)*'❷ 區塊定義'!U121)</f>
        <v/>
      </c>
      <c r="P17" s="16" t="str">
        <f aca="false">IF(A17="","",IF(B17="",0,B17)*'❷ 區塊定義'!V25+IF(C17="",0,C17)*'❷ 區塊定義'!V49+IF(D17="",0,D17)*'❷ 區塊定義'!V73+IF(E17="",0,E17)*'❷ 區塊定義'!V97+IF(F17="",0,F17)*'❷ 區塊定義'!V121)</f>
        <v/>
      </c>
      <c r="Q17" s="16" t="str">
        <f aca="false">IF(A17="","",IF(B17="",0,B17)*'❷ 區塊定義'!W25+IF(C17="",0,C17)*'❷ 區塊定義'!W49+IF(D17="",0,D17)*'❷ 區塊定義'!W73+IF(E17="",0,E17)*'❷ 區塊定義'!W97+IF(F17="",0,F17)*'❷ 區塊定義'!W121)</f>
        <v/>
      </c>
      <c r="R17" s="16" t="str">
        <f aca="false">IF(A17="","",IF(B17="",0,B17)*'❷ 區塊定義'!X25+IF(C17="",0,C17)*'❷ 區塊定義'!X49+IF(D17="",0,D17)*'❷ 區塊定義'!X73+IF(E17="",0,E17)*'❷ 區塊定義'!X97+IF(F17="",0,F17)*'❷ 區塊定義'!X121)</f>
        <v/>
      </c>
    </row>
    <row r="18" customFormat="false" ht="15" hidden="false" customHeight="true" outlineLevel="0" collapsed="false">
      <c r="A18" s="21"/>
      <c r="B18" s="21"/>
      <c r="C18" s="21"/>
      <c r="D18" s="21"/>
      <c r="E18" s="21"/>
      <c r="F18" s="21"/>
      <c r="G18" s="24" t="str">
        <f aca="false">IF(A18="","",IF(B18="",0,B18)*'❷ 區塊定義'!L25+IF(C18="",0,C18)*'❷ 區塊定義'!L49+IF(D18="",0,D18)*'❷ 區塊定義'!L73+IF(E18="",0,E18)*'❷ 區塊定義'!L97+IF(F18="",0,F18)*'❷ 區塊定義'!L121)</f>
        <v/>
      </c>
      <c r="H18" s="25" t="str">
        <f aca="false">IF(A18="","",IF(B18="",0,B18)*'❷ 區塊定義'!O25+IF(C18="",0,C18)*'❷ 區塊定義'!O49+IF(D18="",0,D18)*'❷ 區塊定義'!O73+IF(E18="",0,E18)*'❷ 區塊定義'!O97+IF(F18="",0,F18)*'❷ 區塊定義'!O121)</f>
        <v/>
      </c>
      <c r="I18" s="25" t="str">
        <f aca="false">IF(A18="","",IF(B18="",0,B18)*'❷ 區塊定義'!P25+IF(C18="",0,C18)*'❷ 區塊定義'!P49+IF(D18="",0,D18)*'❷ 區塊定義'!P73+IF(E18="",0,E18)*'❷ 區塊定義'!P97+IF(F18="",0,F18)*'❷ 區塊定義'!P121)</f>
        <v/>
      </c>
      <c r="J18" s="25" t="str">
        <f aca="false">IF(A18="","",IF(B18="",0,B18)*'❷ 區塊定義'!Q25+IF(C18="",0,C18)*'❷ 區塊定義'!Q49+IF(D18="",0,D18)*'❷ 區塊定義'!Q73+IF(E18="",0,E18)*'❷ 區塊定義'!Q97+IF(F18="",0,F18)*'❷ 區塊定義'!Q121)</f>
        <v/>
      </c>
      <c r="K18" s="25" t="str">
        <f aca="false">IF(A18="","",IF(B18="",0,B18)*'❷ 區塊定義'!R25+IF(C18="",0,C18)*'❷ 區塊定義'!R49+IF(D18="",0,D18)*'❷ 區塊定義'!R73+IF(E18="",0,E18)*'❷ 區塊定義'!R97+IF(F18="",0,F18)*'❷ 區塊定義'!R121)</f>
        <v/>
      </c>
      <c r="L18" s="25" t="str">
        <f aca="false">IF(A18="","",H18+I18+J18+K18)</f>
        <v/>
      </c>
      <c r="M18" s="16" t="str">
        <f aca="false">IF(A18="","",IF(B18="",0,B18)*'❷ 區塊定義'!S25+IF(C18="",0,C18)*'❷ 區塊定義'!S49+IF(D18="",0,D18)*'❷ 區塊定義'!S73+IF(E18="",0,E18)*'❷ 區塊定義'!S97+IF(F18="",0,F18)*'❷ 區塊定義'!S121)</f>
        <v/>
      </c>
      <c r="N18" s="16" t="str">
        <f aca="false">IF(A18="","",IF(B18="",0,B18)*'❷ 區塊定義'!T25+IF(C18="",0,C18)*'❷ 區塊定義'!T49+IF(D18="",0,D18)*'❷ 區塊定義'!T73+IF(E18="",0,E18)*'❷ 區塊定義'!T97+IF(F18="",0,F18)*'❷ 區塊定義'!T121)</f>
        <v/>
      </c>
      <c r="O18" s="16" t="str">
        <f aca="false">IF(A18="","",IF(B18="",0,B18)*'❷ 區塊定義'!U25+IF(C18="",0,C18)*'❷ 區塊定義'!U49+IF(D18="",0,D18)*'❷ 區塊定義'!U73+IF(E18="",0,E18)*'❷ 區塊定義'!U97+IF(F18="",0,F18)*'❷ 區塊定義'!U121)</f>
        <v/>
      </c>
      <c r="P18" s="16" t="str">
        <f aca="false">IF(A18="","",IF(B18="",0,B18)*'❷ 區塊定義'!V25+IF(C18="",0,C18)*'❷ 區塊定義'!V49+IF(D18="",0,D18)*'❷ 區塊定義'!V73+IF(E18="",0,E18)*'❷ 區塊定義'!V97+IF(F18="",0,F18)*'❷ 區塊定義'!V121)</f>
        <v/>
      </c>
      <c r="Q18" s="16" t="str">
        <f aca="false">IF(A18="","",IF(B18="",0,B18)*'❷ 區塊定義'!W25+IF(C18="",0,C18)*'❷ 區塊定義'!W49+IF(D18="",0,D18)*'❷ 區塊定義'!W73+IF(E18="",0,E18)*'❷ 區塊定義'!W97+IF(F18="",0,F18)*'❷ 區塊定義'!W121)</f>
        <v/>
      </c>
      <c r="R18" s="16" t="str">
        <f aca="false">IF(A18="","",IF(B18="",0,B18)*'❷ 區塊定義'!X25+IF(C18="",0,C18)*'❷ 區塊定義'!X49+IF(D18="",0,D18)*'❷ 區塊定義'!X73+IF(E18="",0,E18)*'❷ 區塊定義'!X97+IF(F18="",0,F18)*'❷ 區塊定義'!X121)</f>
        <v/>
      </c>
    </row>
    <row r="19" customFormat="false" ht="15" hidden="false" customHeight="true" outlineLevel="0" collapsed="false">
      <c r="A19" s="27" t="s">
        <v>101</v>
      </c>
      <c r="B19" s="27"/>
      <c r="C19" s="27"/>
      <c r="D19" s="27"/>
      <c r="E19" s="27"/>
      <c r="F19" s="27"/>
      <c r="G19" s="28" t="n">
        <f aca="false">SUM(G4:G18)</f>
        <v>287437.728</v>
      </c>
      <c r="H19" s="29" t="n">
        <f aca="false">SUM(H4:H18)</f>
        <v>1999.164</v>
      </c>
      <c r="I19" s="29" t="n">
        <f aca="false">SUM(I4:I18)</f>
        <v>338.88</v>
      </c>
      <c r="J19" s="29" t="n">
        <f aca="false">SUM(J4:J18)</f>
        <v>1209.6</v>
      </c>
      <c r="K19" s="29" t="n">
        <f aca="false">SUM(K4:K18)</f>
        <v>0</v>
      </c>
      <c r="L19" s="29" t="n">
        <f aca="false">SUM(L4:L18)</f>
        <v>3547.644</v>
      </c>
      <c r="M19" s="28" t="n">
        <f aca="false">SUM(M4:M18)</f>
        <v>274933.728</v>
      </c>
      <c r="N19" s="28" t="n">
        <f aca="false">SUM(N4:N18)</f>
        <v>12504</v>
      </c>
      <c r="O19" s="28" t="n">
        <f aca="false">SUM(O4:O18)</f>
        <v>0</v>
      </c>
      <c r="P19" s="28" t="n">
        <f aca="false">SUM(P4:P18)</f>
        <v>0</v>
      </c>
      <c r="Q19" s="28" t="n">
        <f aca="false">SUM(Q4:Q18)</f>
        <v>0</v>
      </c>
      <c r="R19" s="28" t="n">
        <f aca="false">SUM(R4:R18)</f>
        <v>0</v>
      </c>
    </row>
    <row r="22" customFormat="false" ht="15" hidden="false" customHeight="true" outlineLevel="0" collapsed="false">
      <c r="A22" s="7" t="s">
        <v>102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customFormat="false" ht="43.5" hidden="false" customHeight="true" outlineLevel="0" collapsed="false">
      <c r="A23" s="12" t="s">
        <v>36</v>
      </c>
      <c r="B23" s="12" t="s">
        <v>37</v>
      </c>
      <c r="C23" s="12" t="s">
        <v>38</v>
      </c>
      <c r="D23" s="12" t="s">
        <v>39</v>
      </c>
      <c r="E23" s="12" t="s">
        <v>40</v>
      </c>
      <c r="F23" s="12" t="s">
        <v>41</v>
      </c>
      <c r="G23" s="12" t="s">
        <v>42</v>
      </c>
      <c r="H23" s="12" t="s">
        <v>43</v>
      </c>
      <c r="I23" s="12" t="s">
        <v>44</v>
      </c>
      <c r="J23" s="12" t="s">
        <v>45</v>
      </c>
      <c r="K23" s="12" t="s">
        <v>46</v>
      </c>
      <c r="L23" s="12" t="s">
        <v>47</v>
      </c>
      <c r="M23" s="12" t="s">
        <v>48</v>
      </c>
    </row>
    <row r="24" customFormat="false" ht="15" hidden="false" customHeight="true" outlineLevel="0" collapsed="false">
      <c r="A24" s="26"/>
      <c r="B24" s="21"/>
      <c r="C24" s="26"/>
      <c r="D24" s="26"/>
      <c r="E24" s="21"/>
      <c r="F24" s="21"/>
      <c r="G24" s="26"/>
      <c r="H24" s="21"/>
      <c r="I24" s="26"/>
      <c r="J24" s="22" t="str">
        <f aca="false">IFERROR(VLOOKUP(C24,規格資料庫!$A$2:$E$162,3,FALSE()),"")</f>
        <v/>
      </c>
      <c r="K24" s="23" t="str">
        <f aca="false">IFERROR(VLOOKUP(C24,規格資料庫!$A$2:$E$162,4,FALSE()),"")</f>
        <v/>
      </c>
      <c r="L24" s="24" t="str">
        <f aca="false">IF(J24="","",J24*E24/1000*F24)</f>
        <v/>
      </c>
      <c r="M24" s="25" t="str">
        <f aca="false">IF(OR(C24="",G24="",G24="無"),"",IFERROR(K24*IF(OR(H24="",H24=0),E24,H24)/1000*F24-IF(I24="是",VLOOKUP(C24,規格資料庫!$A$2:$E$162,5,FALSE())/1000*IF(OR(H24="",H24=0),E24,H24)/1000*F24,0),""))</f>
        <v/>
      </c>
      <c r="N24" s="1" t="str">
        <f aca="false">IFERROR(VLOOKUP(C24,規格資料庫!$A$2:$B$162,2,FALSE()),"")</f>
        <v/>
      </c>
    </row>
    <row r="25" customFormat="false" ht="15" hidden="false" customHeight="true" outlineLevel="0" collapsed="false">
      <c r="A25" s="26"/>
      <c r="B25" s="21"/>
      <c r="C25" s="26"/>
      <c r="D25" s="26"/>
      <c r="E25" s="21"/>
      <c r="F25" s="21"/>
      <c r="G25" s="26"/>
      <c r="H25" s="21"/>
      <c r="I25" s="26"/>
      <c r="J25" s="22" t="str">
        <f aca="false">IFERROR(VLOOKUP(C25,規格資料庫!$A$2:$E$162,3,FALSE()),"")</f>
        <v/>
      </c>
      <c r="K25" s="23" t="str">
        <f aca="false">IFERROR(VLOOKUP(C25,規格資料庫!$A$2:$E$162,4,FALSE()),"")</f>
        <v/>
      </c>
      <c r="L25" s="24" t="str">
        <f aca="false">IF(J25="","",J25*E25/1000*F25)</f>
        <v/>
      </c>
      <c r="M25" s="25" t="str">
        <f aca="false">IF(OR(C25="",G25="",G25="無"),"",IFERROR(K25*IF(OR(H25="",H25=0),E25,H25)/1000*F25-IF(I25="是",VLOOKUP(C25,規格資料庫!$A$2:$E$162,5,FALSE())/1000*IF(OR(H25="",H25=0),E25,H25)/1000*F25,0),""))</f>
        <v/>
      </c>
      <c r="N25" s="1" t="str">
        <f aca="false">IFERROR(VLOOKUP(C25,規格資料庫!$A$2:$B$162,2,FALSE()),"")</f>
        <v/>
      </c>
    </row>
    <row r="26" customFormat="false" ht="15" hidden="false" customHeight="true" outlineLevel="0" collapsed="false">
      <c r="A26" s="26"/>
      <c r="B26" s="21"/>
      <c r="C26" s="26"/>
      <c r="D26" s="26"/>
      <c r="E26" s="21"/>
      <c r="F26" s="21"/>
      <c r="G26" s="26"/>
      <c r="H26" s="21"/>
      <c r="I26" s="26"/>
      <c r="J26" s="22" t="str">
        <f aca="false">IFERROR(VLOOKUP(C26,規格資料庫!$A$2:$E$162,3,FALSE()),"")</f>
        <v/>
      </c>
      <c r="K26" s="23" t="str">
        <f aca="false">IFERROR(VLOOKUP(C26,規格資料庫!$A$2:$E$162,4,FALSE()),"")</f>
        <v/>
      </c>
      <c r="L26" s="24" t="str">
        <f aca="false">IF(J26="","",J26*E26/1000*F26)</f>
        <v/>
      </c>
      <c r="M26" s="25" t="str">
        <f aca="false">IF(OR(C26="",G26="",G26="無"),"",IFERROR(K26*IF(OR(H26="",H26=0),E26,H26)/1000*F26-IF(I26="是",VLOOKUP(C26,規格資料庫!$A$2:$E$162,5,FALSE())/1000*IF(OR(H26="",H26=0),E26,H26)/1000*F26,0),""))</f>
        <v/>
      </c>
      <c r="N26" s="1" t="str">
        <f aca="false">IFERROR(VLOOKUP(C26,規格資料庫!$A$2:$B$162,2,FALSE()),"")</f>
        <v/>
      </c>
    </row>
    <row r="27" customFormat="false" ht="15" hidden="false" customHeight="true" outlineLevel="0" collapsed="false">
      <c r="A27" s="26"/>
      <c r="B27" s="21"/>
      <c r="C27" s="26"/>
      <c r="D27" s="26"/>
      <c r="E27" s="21"/>
      <c r="F27" s="21"/>
      <c r="G27" s="26"/>
      <c r="H27" s="21"/>
      <c r="I27" s="26"/>
      <c r="J27" s="22" t="str">
        <f aca="false">IFERROR(VLOOKUP(C27,規格資料庫!$A$2:$E$162,3,FALSE()),"")</f>
        <v/>
      </c>
      <c r="K27" s="23" t="str">
        <f aca="false">IFERROR(VLOOKUP(C27,規格資料庫!$A$2:$E$162,4,FALSE()),"")</f>
        <v/>
      </c>
      <c r="L27" s="24" t="str">
        <f aca="false">IF(J27="","",J27*E27/1000*F27)</f>
        <v/>
      </c>
      <c r="M27" s="25" t="str">
        <f aca="false">IF(OR(C27="",G27="",G27="無"),"",IFERROR(K27*IF(OR(H27="",H27=0),E27,H27)/1000*F27-IF(I27="是",VLOOKUP(C27,規格資料庫!$A$2:$E$162,5,FALSE())/1000*IF(OR(H27="",H27=0),E27,H27)/1000*F27,0),""))</f>
        <v/>
      </c>
      <c r="N27" s="1" t="str">
        <f aca="false">IFERROR(VLOOKUP(C27,規格資料庫!$A$2:$B$162,2,FALSE()),"")</f>
        <v/>
      </c>
    </row>
    <row r="28" customFormat="false" ht="15" hidden="false" customHeight="true" outlineLevel="0" collapsed="false">
      <c r="A28" s="26"/>
      <c r="B28" s="21"/>
      <c r="C28" s="26"/>
      <c r="D28" s="26"/>
      <c r="E28" s="21"/>
      <c r="F28" s="21"/>
      <c r="G28" s="26"/>
      <c r="H28" s="21"/>
      <c r="I28" s="26"/>
      <c r="J28" s="22" t="str">
        <f aca="false">IFERROR(VLOOKUP(C28,規格資料庫!$A$2:$E$162,3,FALSE()),"")</f>
        <v/>
      </c>
      <c r="K28" s="23" t="str">
        <f aca="false">IFERROR(VLOOKUP(C28,規格資料庫!$A$2:$E$162,4,FALSE()),"")</f>
        <v/>
      </c>
      <c r="L28" s="24" t="str">
        <f aca="false">IF(J28="","",J28*E28/1000*F28)</f>
        <v/>
      </c>
      <c r="M28" s="25" t="str">
        <f aca="false">IF(OR(C28="",G28="",G28="無"),"",IFERROR(K28*IF(OR(H28="",H28=0),E28,H28)/1000*F28-IF(I28="是",VLOOKUP(C28,規格資料庫!$A$2:$E$162,5,FALSE())/1000*IF(OR(H28="",H28=0),E28,H28)/1000*F28,0),""))</f>
        <v/>
      </c>
      <c r="N28" s="1" t="str">
        <f aca="false">IFERROR(VLOOKUP(C28,規格資料庫!$A$2:$B$162,2,FALSE()),"")</f>
        <v/>
      </c>
    </row>
    <row r="29" customFormat="false" ht="15" hidden="false" customHeight="true" outlineLevel="0" collapsed="false">
      <c r="A29" s="26"/>
      <c r="B29" s="21"/>
      <c r="C29" s="26"/>
      <c r="D29" s="26"/>
      <c r="E29" s="21"/>
      <c r="F29" s="21"/>
      <c r="G29" s="26"/>
      <c r="H29" s="21"/>
      <c r="I29" s="26"/>
      <c r="J29" s="22" t="str">
        <f aca="false">IFERROR(VLOOKUP(C29,規格資料庫!$A$2:$E$162,3,FALSE()),"")</f>
        <v/>
      </c>
      <c r="K29" s="23" t="str">
        <f aca="false">IFERROR(VLOOKUP(C29,規格資料庫!$A$2:$E$162,4,FALSE()),"")</f>
        <v/>
      </c>
      <c r="L29" s="24" t="str">
        <f aca="false">IF(J29="","",J29*E29/1000*F29)</f>
        <v/>
      </c>
      <c r="M29" s="25" t="str">
        <f aca="false">IF(OR(C29="",G29="",G29="無"),"",IFERROR(K29*IF(OR(H29="",H29=0),E29,H29)/1000*F29-IF(I29="是",VLOOKUP(C29,規格資料庫!$A$2:$E$162,5,FALSE())/1000*IF(OR(H29="",H29=0),E29,H29)/1000*F29,0),""))</f>
        <v/>
      </c>
      <c r="N29" s="1" t="str">
        <f aca="false">IFERROR(VLOOKUP(C29,規格資料庫!$A$2:$B$162,2,FALSE()),"")</f>
        <v/>
      </c>
    </row>
    <row r="30" customFormat="false" ht="15" hidden="false" customHeight="true" outlineLevel="0" collapsed="false">
      <c r="A30" s="26"/>
      <c r="B30" s="21"/>
      <c r="C30" s="26"/>
      <c r="D30" s="26"/>
      <c r="E30" s="21"/>
      <c r="F30" s="21"/>
      <c r="G30" s="26"/>
      <c r="H30" s="21"/>
      <c r="I30" s="26"/>
      <c r="J30" s="22" t="str">
        <f aca="false">IFERROR(VLOOKUP(C30,規格資料庫!$A$2:$E$162,3,FALSE()),"")</f>
        <v/>
      </c>
      <c r="K30" s="23" t="str">
        <f aca="false">IFERROR(VLOOKUP(C30,規格資料庫!$A$2:$E$162,4,FALSE()),"")</f>
        <v/>
      </c>
      <c r="L30" s="24" t="str">
        <f aca="false">IF(J30="","",J30*E30/1000*F30)</f>
        <v/>
      </c>
      <c r="M30" s="25" t="str">
        <f aca="false">IF(OR(C30="",G30="",G30="無"),"",IFERROR(K30*IF(OR(H30="",H30=0),E30,H30)/1000*F30-IF(I30="是",VLOOKUP(C30,規格資料庫!$A$2:$E$162,5,FALSE())/1000*IF(OR(H30="",H30=0),E30,H30)/1000*F30,0),""))</f>
        <v/>
      </c>
      <c r="N30" s="1" t="str">
        <f aca="false">IFERROR(VLOOKUP(C30,規格資料庫!$A$2:$B$162,2,FALSE()),"")</f>
        <v/>
      </c>
    </row>
    <row r="31" customFormat="false" ht="15" hidden="false" customHeight="true" outlineLevel="0" collapsed="false">
      <c r="A31" s="26"/>
      <c r="B31" s="21"/>
      <c r="C31" s="26"/>
      <c r="D31" s="26"/>
      <c r="E31" s="21"/>
      <c r="F31" s="21"/>
      <c r="G31" s="26"/>
      <c r="H31" s="21"/>
      <c r="I31" s="26"/>
      <c r="J31" s="22" t="str">
        <f aca="false">IFERROR(VLOOKUP(C31,規格資料庫!$A$2:$E$162,3,FALSE()),"")</f>
        <v/>
      </c>
      <c r="K31" s="23" t="str">
        <f aca="false">IFERROR(VLOOKUP(C31,規格資料庫!$A$2:$E$162,4,FALSE()),"")</f>
        <v/>
      </c>
      <c r="L31" s="24" t="str">
        <f aca="false">IF(J31="","",J31*E31/1000*F31)</f>
        <v/>
      </c>
      <c r="M31" s="25" t="str">
        <f aca="false">IF(OR(C31="",G31="",G31="無"),"",IFERROR(K31*IF(OR(H31="",H31=0),E31,H31)/1000*F31-IF(I31="是",VLOOKUP(C31,規格資料庫!$A$2:$E$162,5,FALSE())/1000*IF(OR(H31="",H31=0),E31,H31)/1000*F31,0),""))</f>
        <v/>
      </c>
      <c r="N31" s="1" t="str">
        <f aca="false">IFERROR(VLOOKUP(C31,規格資料庫!$A$2:$B$162,2,FALSE()),"")</f>
        <v/>
      </c>
    </row>
    <row r="32" customFormat="false" ht="15" hidden="false" customHeight="true" outlineLevel="0" collapsed="false">
      <c r="A32" s="26"/>
      <c r="B32" s="21"/>
      <c r="C32" s="26"/>
      <c r="D32" s="26"/>
      <c r="E32" s="21"/>
      <c r="F32" s="21"/>
      <c r="G32" s="26"/>
      <c r="H32" s="21"/>
      <c r="I32" s="26"/>
      <c r="J32" s="22" t="str">
        <f aca="false">IFERROR(VLOOKUP(C32,規格資料庫!$A$2:$E$162,3,FALSE()),"")</f>
        <v/>
      </c>
      <c r="K32" s="23" t="str">
        <f aca="false">IFERROR(VLOOKUP(C32,規格資料庫!$A$2:$E$162,4,FALSE()),"")</f>
        <v/>
      </c>
      <c r="L32" s="24" t="str">
        <f aca="false">IF(J32="","",J32*E32/1000*F32)</f>
        <v/>
      </c>
      <c r="M32" s="25" t="str">
        <f aca="false">IF(OR(C32="",G32="",G32="無"),"",IFERROR(K32*IF(OR(H32="",H32=0),E32,H32)/1000*F32-IF(I32="是",VLOOKUP(C32,規格資料庫!$A$2:$E$162,5,FALSE())/1000*IF(OR(H32="",H32=0),E32,H32)/1000*F32,0),""))</f>
        <v/>
      </c>
      <c r="N32" s="1" t="str">
        <f aca="false">IFERROR(VLOOKUP(C32,規格資料庫!$A$2:$B$162,2,FALSE()),"")</f>
        <v/>
      </c>
    </row>
    <row r="33" customFormat="false" ht="15" hidden="false" customHeight="true" outlineLevel="0" collapsed="false">
      <c r="A33" s="26"/>
      <c r="B33" s="21"/>
      <c r="C33" s="26"/>
      <c r="D33" s="26"/>
      <c r="E33" s="21"/>
      <c r="F33" s="21"/>
      <c r="G33" s="26"/>
      <c r="H33" s="21"/>
      <c r="I33" s="26"/>
      <c r="J33" s="22" t="str">
        <f aca="false">IFERROR(VLOOKUP(C33,規格資料庫!$A$2:$E$162,3,FALSE()),"")</f>
        <v/>
      </c>
      <c r="K33" s="23" t="str">
        <f aca="false">IFERROR(VLOOKUP(C33,規格資料庫!$A$2:$E$162,4,FALSE()),"")</f>
        <v/>
      </c>
      <c r="L33" s="24" t="str">
        <f aca="false">IF(J33="","",J33*E33/1000*F33)</f>
        <v/>
      </c>
      <c r="M33" s="25" t="str">
        <f aca="false">IF(OR(C33="",G33="",G33="無"),"",IFERROR(K33*IF(OR(H33="",H33=0),E33,H33)/1000*F33-IF(I33="是",VLOOKUP(C33,規格資料庫!$A$2:$E$162,5,FALSE())/1000*IF(OR(H33="",H33=0),E33,H33)/1000*F33,0),""))</f>
        <v/>
      </c>
      <c r="N33" s="1" t="str">
        <f aca="false">IFERROR(VLOOKUP(C33,規格資料庫!$A$2:$B$162,2,FALSE()),"")</f>
        <v/>
      </c>
    </row>
    <row r="34" customFormat="false" ht="15" hidden="false" customHeight="true" outlineLevel="0" collapsed="false">
      <c r="A34" s="26"/>
      <c r="B34" s="21"/>
      <c r="C34" s="26"/>
      <c r="D34" s="26"/>
      <c r="E34" s="21"/>
      <c r="F34" s="21"/>
      <c r="G34" s="26"/>
      <c r="H34" s="21"/>
      <c r="I34" s="26"/>
      <c r="J34" s="22" t="str">
        <f aca="false">IFERROR(VLOOKUP(C34,規格資料庫!$A$2:$E$162,3,FALSE()),"")</f>
        <v/>
      </c>
      <c r="K34" s="23" t="str">
        <f aca="false">IFERROR(VLOOKUP(C34,規格資料庫!$A$2:$E$162,4,FALSE()),"")</f>
        <v/>
      </c>
      <c r="L34" s="24" t="str">
        <f aca="false">IF(J34="","",J34*E34/1000*F34)</f>
        <v/>
      </c>
      <c r="M34" s="25" t="str">
        <f aca="false">IF(OR(C34="",G34="",G34="無"),"",IFERROR(K34*IF(OR(H34="",H34=0),E34,H34)/1000*F34-IF(I34="是",VLOOKUP(C34,規格資料庫!$A$2:$E$162,5,FALSE())/1000*IF(OR(H34="",H34=0),E34,H34)/1000*F34,0),""))</f>
        <v/>
      </c>
      <c r="N34" s="1" t="str">
        <f aca="false">IFERROR(VLOOKUP(C34,規格資料庫!$A$2:$B$162,2,FALSE()),"")</f>
        <v/>
      </c>
    </row>
    <row r="35" customFormat="false" ht="15" hidden="false" customHeight="true" outlineLevel="0" collapsed="false">
      <c r="A35" s="26"/>
      <c r="B35" s="21"/>
      <c r="C35" s="26"/>
      <c r="D35" s="26"/>
      <c r="E35" s="21"/>
      <c r="F35" s="21"/>
      <c r="G35" s="26"/>
      <c r="H35" s="21"/>
      <c r="I35" s="26"/>
      <c r="J35" s="22" t="str">
        <f aca="false">IFERROR(VLOOKUP(C35,規格資料庫!$A$2:$E$162,3,FALSE()),"")</f>
        <v/>
      </c>
      <c r="K35" s="23" t="str">
        <f aca="false">IFERROR(VLOOKUP(C35,規格資料庫!$A$2:$E$162,4,FALSE()),"")</f>
        <v/>
      </c>
      <c r="L35" s="24" t="str">
        <f aca="false">IF(J35="","",J35*E35/1000*F35)</f>
        <v/>
      </c>
      <c r="M35" s="25" t="str">
        <f aca="false">IF(OR(C35="",G35="",G35="無"),"",IFERROR(K35*IF(OR(H35="",H35=0),E35,H35)/1000*F35-IF(I35="是",VLOOKUP(C35,規格資料庫!$A$2:$E$162,5,FALSE())/1000*IF(OR(H35="",H35=0),E35,H35)/1000*F35,0),""))</f>
        <v/>
      </c>
      <c r="N35" s="1" t="str">
        <f aca="false">IFERROR(VLOOKUP(C35,規格資料庫!$A$2:$B$162,2,FALSE()),"")</f>
        <v/>
      </c>
    </row>
    <row r="36" customFormat="false" ht="15" hidden="false" customHeight="true" outlineLevel="0" collapsed="false">
      <c r="A36" s="26"/>
      <c r="B36" s="21"/>
      <c r="C36" s="26"/>
      <c r="D36" s="26"/>
      <c r="E36" s="21"/>
      <c r="F36" s="21"/>
      <c r="G36" s="26"/>
      <c r="H36" s="21"/>
      <c r="I36" s="26"/>
      <c r="J36" s="22" t="str">
        <f aca="false">IFERROR(VLOOKUP(C36,規格資料庫!$A$2:$E$162,3,FALSE()),"")</f>
        <v/>
      </c>
      <c r="K36" s="23" t="str">
        <f aca="false">IFERROR(VLOOKUP(C36,規格資料庫!$A$2:$E$162,4,FALSE()),"")</f>
        <v/>
      </c>
      <c r="L36" s="24" t="str">
        <f aca="false">IF(J36="","",J36*E36/1000*F36)</f>
        <v/>
      </c>
      <c r="M36" s="25" t="str">
        <f aca="false">IF(OR(C36="",G36="",G36="無"),"",IFERROR(K36*IF(OR(H36="",H36=0),E36,H36)/1000*F36-IF(I36="是",VLOOKUP(C36,規格資料庫!$A$2:$E$162,5,FALSE())/1000*IF(OR(H36="",H36=0),E36,H36)/1000*F36,0),""))</f>
        <v/>
      </c>
      <c r="N36" s="1" t="str">
        <f aca="false">IFERROR(VLOOKUP(C36,規格資料庫!$A$2:$B$162,2,FALSE()),"")</f>
        <v/>
      </c>
    </row>
    <row r="37" customFormat="false" ht="15" hidden="false" customHeight="true" outlineLevel="0" collapsed="false">
      <c r="A37" s="26"/>
      <c r="B37" s="21"/>
      <c r="C37" s="26"/>
      <c r="D37" s="26"/>
      <c r="E37" s="21"/>
      <c r="F37" s="21"/>
      <c r="G37" s="26"/>
      <c r="H37" s="21"/>
      <c r="I37" s="26"/>
      <c r="J37" s="22" t="str">
        <f aca="false">IFERROR(VLOOKUP(C37,規格資料庫!$A$2:$E$162,3,FALSE()),"")</f>
        <v/>
      </c>
      <c r="K37" s="23" t="str">
        <f aca="false">IFERROR(VLOOKUP(C37,規格資料庫!$A$2:$E$162,4,FALSE()),"")</f>
        <v/>
      </c>
      <c r="L37" s="24" t="str">
        <f aca="false">IF(J37="","",J37*E37/1000*F37)</f>
        <v/>
      </c>
      <c r="M37" s="25" t="str">
        <f aca="false">IF(OR(C37="",G37="",G37="無"),"",IFERROR(K37*IF(OR(H37="",H37=0),E37,H37)/1000*F37-IF(I37="是",VLOOKUP(C37,規格資料庫!$A$2:$E$162,5,FALSE())/1000*IF(OR(H37="",H37=0),E37,H37)/1000*F37,0),""))</f>
        <v/>
      </c>
      <c r="N37" s="1" t="str">
        <f aca="false">IFERROR(VLOOKUP(C37,規格資料庫!$A$2:$B$162,2,FALSE()),"")</f>
        <v/>
      </c>
    </row>
    <row r="38" customFormat="false" ht="15" hidden="false" customHeight="true" outlineLevel="0" collapsed="false">
      <c r="A38" s="26"/>
      <c r="B38" s="21"/>
      <c r="C38" s="26"/>
      <c r="D38" s="26"/>
      <c r="E38" s="21"/>
      <c r="F38" s="21"/>
      <c r="G38" s="26"/>
      <c r="H38" s="21"/>
      <c r="I38" s="26"/>
      <c r="J38" s="22" t="str">
        <f aca="false">IFERROR(VLOOKUP(C38,規格資料庫!$A$2:$E$162,3,FALSE()),"")</f>
        <v/>
      </c>
      <c r="K38" s="23" t="str">
        <f aca="false">IFERROR(VLOOKUP(C38,規格資料庫!$A$2:$E$162,4,FALSE()),"")</f>
        <v/>
      </c>
      <c r="L38" s="24" t="str">
        <f aca="false">IF(J38="","",J38*E38/1000*F38)</f>
        <v/>
      </c>
      <c r="M38" s="25" t="str">
        <f aca="false">IF(OR(C38="",G38="",G38="無"),"",IFERROR(K38*IF(OR(H38="",H38=0),E38,H38)/1000*F38-IF(I38="是",VLOOKUP(C38,規格資料庫!$A$2:$E$162,5,FALSE())/1000*IF(OR(H38="",H38=0),E38,H38)/1000*F38,0),""))</f>
        <v/>
      </c>
      <c r="N38" s="1" t="str">
        <f aca="false">IFERROR(VLOOKUP(C38,規格資料庫!$A$2:$B$162,2,FALSE()),"")</f>
        <v/>
      </c>
    </row>
    <row r="39" customFormat="false" ht="15" hidden="false" customHeight="true" outlineLevel="0" collapsed="false">
      <c r="A39" s="27" t="s">
        <v>103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8" t="n">
        <f aca="false">SUM(L24:L38)</f>
        <v>0</v>
      </c>
      <c r="M39" s="29" t="n">
        <f aca="false">SUM(M24:M38)</f>
        <v>0</v>
      </c>
      <c r="O39" s="30" t="n">
        <f aca="false">SUMIF(G24:G38,"油漆",M24:M38)</f>
        <v>0</v>
      </c>
      <c r="P39" s="30" t="n">
        <f aca="false">SUMIF(G24:G38,"防火漆1hr",M24:M38)</f>
        <v>0</v>
      </c>
      <c r="Q39" s="30" t="n">
        <f aca="false">SUMIF(G24:G38,"防火漆2hr",M24:M38)</f>
        <v>0</v>
      </c>
      <c r="R39" s="30" t="n">
        <f aca="false">SUMIF(G24:G38,"防火批覆",M24:M38)</f>
        <v>0</v>
      </c>
      <c r="S39" s="31" t="n">
        <f aca="false">SUMPRODUCT((D24:D38="SN400B")*IF(ISNUMBER(L24:L38),L24:L38,0))</f>
        <v>0</v>
      </c>
      <c r="T39" s="31" t="n">
        <f aca="false">SUMPRODUCT((D24:D38="A36")*IF(ISNUMBER(L24:L38),L24:L38,0))</f>
        <v>0</v>
      </c>
      <c r="U39" s="31" t="n">
        <f aca="false">SUMPRODUCT((D24:D38="SN490B")*IF(ISNUMBER(L24:L38),L24:L38,0))</f>
        <v>0</v>
      </c>
      <c r="V39" s="31" t="n">
        <f aca="false">SUMPRODUCT((D24:D38="A572 Gr.50")*IF(ISNUMBER(L24:L38),L24:L38,0))</f>
        <v>0</v>
      </c>
      <c r="W39" s="31" t="n">
        <f aca="false">SUMPRODUCT((N24:N38="GR")*IF(ISNUMBER(L24:L38),L24:L38,0))</f>
        <v>0</v>
      </c>
      <c r="X39" s="31" t="n">
        <f aca="false">SUMPRODUCT((N24:N38="CP")*IF(ISNUMBER(L24:L38),L24:L38,0))</f>
        <v>0</v>
      </c>
    </row>
  </sheetData>
  <mergeCells count="2">
    <mergeCell ref="A1:L1"/>
    <mergeCell ref="A22:M22"/>
  </mergeCells>
  <dataValidations count="5">
    <dataValidation allowBlank="true" errorStyle="stop" operator="between" showDropDown="false" showErrorMessage="false" showInputMessage="false" sqref="A24:A38" type="list">
      <formula1>prefix_list</formula1>
      <formula2>0</formula2>
    </dataValidation>
    <dataValidation allowBlank="true" errorStyle="stop" operator="between" showDropDown="false" showErrorMessage="false" showInputMessage="false" sqref="D24:D38" type="list">
      <formula1>"SN400B,SN490B,A572 Gr.50,A36"</formula1>
      <formula2>0</formula2>
    </dataValidation>
    <dataValidation allowBlank="true" errorStyle="stop" operator="between" showDropDown="false" showErrorMessage="false" showInputMessage="false" sqref="G24:G38" type="list">
      <formula1>"油漆,防火漆1hr,防火漆2hr,防火批覆,無"</formula1>
      <formula2>0</formula2>
    </dataValidation>
    <dataValidation allowBlank="true" errorStyle="stop" operator="between" showDropDown="false" showErrorMessage="false" showInputMessage="false" sqref="I24:I38" type="list">
      <formula1>"否,是"</formula1>
      <formula2>0</formula2>
    </dataValidation>
    <dataValidation allowBlank="true" errorStyle="stop" operator="between" showDropDown="false" showErrorMessage="false" showInputMessage="false" sqref="C24:C38" type="list">
      <formula1>INDIRECT("spec_"&amp;SUBSTITUTE(SUBSTITUTE(SUBSTITUTE(SUBSTITUTE(SUBSTITUTE(SUBSTITUTE(SUBSTITUTE(A24,".","_"),"-","_"),"@","_")," ","_"),"φ","d"),"(","_"),")","_"))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R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10" min="8" style="1" width="8"/>
    <col collapsed="false" customWidth="true" hidden="false" outlineLevel="0" max="16" min="11" style="1" width="12"/>
  </cols>
  <sheetData>
    <row r="1" customFormat="false" ht="15" hidden="false" customHeight="true" outlineLevel="0" collapsed="false">
      <c r="A1" s="33" t="s">
        <v>104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customFormat="false" ht="29.25" hidden="false" customHeight="true" outlineLevel="0" collapsed="false">
      <c r="A2" s="12" t="s">
        <v>85</v>
      </c>
      <c r="B2" s="13" t="s">
        <v>105</v>
      </c>
      <c r="C2" s="12" t="s">
        <v>106</v>
      </c>
      <c r="D2" s="12" t="s">
        <v>107</v>
      </c>
      <c r="E2" s="12" t="s">
        <v>108</v>
      </c>
      <c r="F2" s="13" t="s">
        <v>109</v>
      </c>
      <c r="G2" s="12" t="s">
        <v>110</v>
      </c>
      <c r="H2" s="12" t="s">
        <v>111</v>
      </c>
      <c r="I2" s="12" t="s">
        <v>112</v>
      </c>
      <c r="J2" s="12" t="s">
        <v>113</v>
      </c>
      <c r="K2" s="13" t="s">
        <v>114</v>
      </c>
      <c r="L2" s="12" t="s">
        <v>115</v>
      </c>
      <c r="M2" s="13" t="s">
        <v>116</v>
      </c>
      <c r="N2" s="13" t="s">
        <v>117</v>
      </c>
      <c r="O2" s="12" t="s">
        <v>118</v>
      </c>
      <c r="P2" s="12" t="s">
        <v>119</v>
      </c>
    </row>
    <row r="3" customFormat="false" ht="15" hidden="false" customHeight="true" outlineLevel="0" collapsed="false">
      <c r="A3" s="32" t="s">
        <v>97</v>
      </c>
      <c r="B3" s="18" t="s">
        <v>120</v>
      </c>
      <c r="C3" s="10" t="n">
        <v>500</v>
      </c>
      <c r="D3" s="19" t="n">
        <v>150</v>
      </c>
      <c r="E3" s="18" t="s">
        <v>121</v>
      </c>
      <c r="F3" s="18" t="s">
        <v>122</v>
      </c>
      <c r="G3" s="20" t="s">
        <v>61</v>
      </c>
      <c r="H3" s="20" t="s">
        <v>75</v>
      </c>
      <c r="I3" s="34" t="n">
        <f aca="false">IFERROR(VLOOKUP(B3,規格資料庫!$A$2:$E$162,4,FALSE()),"")</f>
        <v>76</v>
      </c>
      <c r="J3" s="34" t="n">
        <f aca="false">IFERROR(VLOOKUP(B3,規格資料庫!$A$2:$E$162,5,FALSE()),"")</f>
        <v>305</v>
      </c>
      <c r="K3" s="24" t="n">
        <f aca="false">IF(B3="","",VLOOKUP(B3,規格資料庫!$A$2:$E$162,3,FALSE())*C3)</f>
        <v>8800</v>
      </c>
      <c r="L3" s="24" t="n">
        <f aca="false">IF(OR(E3="",J3="",J3=0),"",VLOOKUP(E3,規格資料庫!$A$2:$E$162,3,FALSE())*(1000/J3)*C3)</f>
        <v>1629.50819672131</v>
      </c>
      <c r="M3" s="24" t="n">
        <f aca="false">IF(F3="","",VLOOKUP(F3,規格資料庫!$A$2:$E$162,3,FALSE())*C3)</f>
        <v>660</v>
      </c>
      <c r="N3" s="25" t="n">
        <f aca="false">IF(OR(B3="",D3=""),"",C3*(D3-I3/2)/1000)</f>
        <v>56</v>
      </c>
      <c r="O3" s="25" t="n">
        <f aca="false">IF(OR(B3="",H3="否",H3=""),"",C3)</f>
        <v>500</v>
      </c>
      <c r="P3" s="25" t="n">
        <f aca="false">IF(OR(B3="",G3="無",G3=""),"",C3)</f>
        <v>500</v>
      </c>
    </row>
    <row r="4" customFormat="false" ht="15" hidden="false" customHeight="true" outlineLevel="0" collapsed="false">
      <c r="A4" s="32" t="s">
        <v>98</v>
      </c>
      <c r="B4" s="18" t="s">
        <v>120</v>
      </c>
      <c r="C4" s="10" t="n">
        <v>500</v>
      </c>
      <c r="D4" s="19" t="n">
        <v>150</v>
      </c>
      <c r="E4" s="18" t="s">
        <v>121</v>
      </c>
      <c r="F4" s="18" t="s">
        <v>122</v>
      </c>
      <c r="G4" s="20" t="s">
        <v>61</v>
      </c>
      <c r="H4" s="20" t="s">
        <v>75</v>
      </c>
      <c r="I4" s="34" t="n">
        <f aca="false">IFERROR(VLOOKUP(B4,規格資料庫!$A$2:$E$162,4,FALSE()),"")</f>
        <v>76</v>
      </c>
      <c r="J4" s="34" t="n">
        <f aca="false">IFERROR(VLOOKUP(B4,規格資料庫!$A$2:$E$162,5,FALSE()),"")</f>
        <v>305</v>
      </c>
      <c r="K4" s="24" t="n">
        <f aca="false">IF(B4="","",VLOOKUP(B4,規格資料庫!$A$2:$E$162,3,FALSE())*C4)</f>
        <v>8800</v>
      </c>
      <c r="L4" s="24" t="n">
        <f aca="false">IF(OR(E4="",J4="",J4=0),"",VLOOKUP(E4,規格資料庫!$A$2:$E$162,3,FALSE())*(1000/J4)*C4)</f>
        <v>1629.50819672131</v>
      </c>
      <c r="M4" s="24" t="n">
        <f aca="false">IF(F4="","",VLOOKUP(F4,規格資料庫!$A$2:$E$162,3,FALSE())*C4)</f>
        <v>660</v>
      </c>
      <c r="N4" s="25" t="n">
        <f aca="false">IF(OR(B4="",D4=""),"",C4*(D4-I4/2)/1000)</f>
        <v>56</v>
      </c>
      <c r="O4" s="25" t="n">
        <f aca="false">IF(OR(B4="",H4="否",H4=""),"",C4)</f>
        <v>500</v>
      </c>
      <c r="P4" s="25" t="n">
        <f aca="false">IF(OR(B4="",G4="無",G4=""),"",C4)</f>
        <v>500</v>
      </c>
    </row>
    <row r="5" customFormat="false" ht="15" hidden="false" customHeight="true" outlineLevel="0" collapsed="false">
      <c r="A5" s="32" t="s">
        <v>99</v>
      </c>
      <c r="B5" s="18" t="s">
        <v>120</v>
      </c>
      <c r="C5" s="10" t="n">
        <v>500</v>
      </c>
      <c r="D5" s="19" t="n">
        <v>120</v>
      </c>
      <c r="E5" s="18" t="s">
        <v>123</v>
      </c>
      <c r="F5" s="18" t="s">
        <v>122</v>
      </c>
      <c r="G5" s="20" t="s">
        <v>74</v>
      </c>
      <c r="H5" s="20" t="s">
        <v>75</v>
      </c>
      <c r="I5" s="34" t="n">
        <f aca="false">IFERROR(VLOOKUP(B5,規格資料庫!$A$2:$E$162,4,FALSE()),"")</f>
        <v>76</v>
      </c>
      <c r="J5" s="34" t="n">
        <f aca="false">IFERROR(VLOOKUP(B5,規格資料庫!$A$2:$E$162,5,FALSE()),"")</f>
        <v>305</v>
      </c>
      <c r="K5" s="24" t="n">
        <f aca="false">IF(B5="","",VLOOKUP(B5,規格資料庫!$A$2:$E$162,3,FALSE())*C5)</f>
        <v>8800</v>
      </c>
      <c r="L5" s="24" t="n">
        <f aca="false">IF(OR(E5="",J5="",J5=0),"",VLOOKUP(E5,規格資料庫!$A$2:$E$162,3,FALSE())*(1000/J5)*C5)</f>
        <v>918.032786885246</v>
      </c>
      <c r="M5" s="24" t="n">
        <f aca="false">IF(F5="","",VLOOKUP(F5,規格資料庫!$A$2:$E$162,3,FALSE())*C5)</f>
        <v>660</v>
      </c>
      <c r="N5" s="25" t="n">
        <f aca="false">IF(OR(B5="",D5=""),"",C5*(D5-I5/2)/1000)</f>
        <v>41</v>
      </c>
      <c r="O5" s="25" t="n">
        <f aca="false">IF(OR(B5="",H5="否",H5=""),"",C5)</f>
        <v>500</v>
      </c>
      <c r="P5" s="25" t="n">
        <f aca="false">IF(OR(B5="",G5="無",G5=""),"",C5)</f>
        <v>500</v>
      </c>
    </row>
    <row r="6" customFormat="false" ht="15" hidden="false" customHeight="true" outlineLevel="0" collapsed="false">
      <c r="A6" s="32" t="s">
        <v>100</v>
      </c>
      <c r="B6" s="18" t="s">
        <v>120</v>
      </c>
      <c r="C6" s="10" t="n">
        <v>300</v>
      </c>
      <c r="D6" s="19" t="n">
        <v>100</v>
      </c>
      <c r="E6" s="18" t="s">
        <v>123</v>
      </c>
      <c r="F6" s="18" t="s">
        <v>124</v>
      </c>
      <c r="G6" s="20" t="s">
        <v>125</v>
      </c>
      <c r="H6" s="20" t="s">
        <v>53</v>
      </c>
      <c r="I6" s="34" t="n">
        <f aca="false">IFERROR(VLOOKUP(B6,規格資料庫!$A$2:$E$162,4,FALSE()),"")</f>
        <v>76</v>
      </c>
      <c r="J6" s="34" t="n">
        <f aca="false">IFERROR(VLOOKUP(B6,規格資料庫!$A$2:$E$162,5,FALSE()),"")</f>
        <v>305</v>
      </c>
      <c r="K6" s="24" t="n">
        <f aca="false">IF(B6="","",VLOOKUP(B6,規格資料庫!$A$2:$E$162,3,FALSE())*C6)</f>
        <v>5280</v>
      </c>
      <c r="L6" s="24" t="n">
        <f aca="false">IF(OR(E6="",J6="",J6=0),"",VLOOKUP(E6,規格資料庫!$A$2:$E$162,3,FALSE())*(1000/J6)*C6)</f>
        <v>550.819672131148</v>
      </c>
      <c r="M6" s="24" t="n">
        <f aca="false">IF(F6="","",VLOOKUP(F6,規格資料庫!$A$2:$E$162,3,FALSE())*C6)</f>
        <v>252</v>
      </c>
      <c r="N6" s="25" t="n">
        <f aca="false">IF(OR(B6="",D6=""),"",C6*(D6-I6/2)/1000)</f>
        <v>18.6</v>
      </c>
      <c r="O6" s="25" t="str">
        <f aca="false">IF(OR(B6="",H6="否",H6=""),"",C6)</f>
        <v/>
      </c>
      <c r="P6" s="25" t="str">
        <f aca="false">IF(OR(B6="",G6="無",G6=""),"",C6)</f>
        <v/>
      </c>
    </row>
    <row r="7" customFormat="false" ht="15" hidden="false" customHeight="true" outlineLevel="0" collapsed="false">
      <c r="A7" s="21"/>
      <c r="B7" s="26"/>
      <c r="C7" s="21"/>
      <c r="D7" s="21"/>
      <c r="E7" s="26"/>
      <c r="F7" s="26"/>
      <c r="G7" s="26"/>
      <c r="H7" s="26"/>
      <c r="I7" s="34" t="str">
        <f aca="false">IFERROR(VLOOKUP(B7,規格資料庫!$A$2:$E$162,4,FALSE()),"")</f>
        <v/>
      </c>
      <c r="J7" s="34" t="str">
        <f aca="false">IFERROR(VLOOKUP(B7,規格資料庫!$A$2:$E$162,5,FALSE()),"")</f>
        <v/>
      </c>
      <c r="K7" s="24" t="str">
        <f aca="false">IF(B7="","",VLOOKUP(B7,規格資料庫!$A$2:$E$162,3,FALSE())*C7)</f>
        <v/>
      </c>
      <c r="L7" s="24" t="str">
        <f aca="false">IF(OR(E7="",J7="",J7=0),"",VLOOKUP(E7,規格資料庫!$A$2:$E$162,3,FALSE())*(1000/J7)*C7)</f>
        <v/>
      </c>
      <c r="M7" s="24" t="str">
        <f aca="false">IF(F7="","",VLOOKUP(F7,規格資料庫!$A$2:$E$162,3,FALSE())*C7)</f>
        <v/>
      </c>
      <c r="N7" s="25" t="str">
        <f aca="false">IF(OR(B7="",D7=""),"",C7*(D7-I7/2)/1000)</f>
        <v/>
      </c>
      <c r="O7" s="25" t="str">
        <f aca="false">IF(OR(B7="",H7="否",H7=""),"",C7)</f>
        <v/>
      </c>
      <c r="P7" s="25" t="str">
        <f aca="false">IF(OR(B7="",G7="無",G7=""),"",C7)</f>
        <v/>
      </c>
    </row>
    <row r="8" customFormat="false" ht="15" hidden="false" customHeight="true" outlineLevel="0" collapsed="false">
      <c r="A8" s="21"/>
      <c r="B8" s="26"/>
      <c r="C8" s="21"/>
      <c r="D8" s="21"/>
      <c r="E8" s="26"/>
      <c r="F8" s="26"/>
      <c r="G8" s="26"/>
      <c r="H8" s="26"/>
      <c r="I8" s="34" t="str">
        <f aca="false">IFERROR(VLOOKUP(B8,規格資料庫!$A$2:$E$162,4,FALSE()),"")</f>
        <v/>
      </c>
      <c r="J8" s="34" t="str">
        <f aca="false">IFERROR(VLOOKUP(B8,規格資料庫!$A$2:$E$162,5,FALSE()),"")</f>
        <v/>
      </c>
      <c r="K8" s="24" t="str">
        <f aca="false">IF(B8="","",VLOOKUP(B8,規格資料庫!$A$2:$E$162,3,FALSE())*C8)</f>
        <v/>
      </c>
      <c r="L8" s="24" t="str">
        <f aca="false">IF(OR(E8="",J8="",J8=0),"",VLOOKUP(E8,規格資料庫!$A$2:$E$162,3,FALSE())*(1000/J8)*C8)</f>
        <v/>
      </c>
      <c r="M8" s="24" t="str">
        <f aca="false">IF(F8="","",VLOOKUP(F8,規格資料庫!$A$2:$E$162,3,FALSE())*C8)</f>
        <v/>
      </c>
      <c r="N8" s="25" t="str">
        <f aca="false">IF(OR(B8="",D8=""),"",C8*(D8-I8/2)/1000)</f>
        <v/>
      </c>
      <c r="O8" s="25" t="str">
        <f aca="false">IF(OR(B8="",H8="否",H8=""),"",C8)</f>
        <v/>
      </c>
      <c r="P8" s="25" t="str">
        <f aca="false">IF(OR(B8="",G8="無",G8=""),"",C8)</f>
        <v/>
      </c>
    </row>
    <row r="9" customFormat="false" ht="15" hidden="false" customHeight="true" outlineLevel="0" collapsed="false">
      <c r="A9" s="21"/>
      <c r="B9" s="26"/>
      <c r="C9" s="21"/>
      <c r="D9" s="21"/>
      <c r="E9" s="26"/>
      <c r="F9" s="26"/>
      <c r="G9" s="26"/>
      <c r="H9" s="26"/>
      <c r="I9" s="34" t="str">
        <f aca="false">IFERROR(VLOOKUP(B9,規格資料庫!$A$2:$E$162,4,FALSE()),"")</f>
        <v/>
      </c>
      <c r="J9" s="34" t="str">
        <f aca="false">IFERROR(VLOOKUP(B9,規格資料庫!$A$2:$E$162,5,FALSE()),"")</f>
        <v/>
      </c>
      <c r="K9" s="24" t="str">
        <f aca="false">IF(B9="","",VLOOKUP(B9,規格資料庫!$A$2:$E$162,3,FALSE())*C9)</f>
        <v/>
      </c>
      <c r="L9" s="24" t="str">
        <f aca="false">IF(OR(E9="",J9="",J9=0),"",VLOOKUP(E9,規格資料庫!$A$2:$E$162,3,FALSE())*(1000/J9)*C9)</f>
        <v/>
      </c>
      <c r="M9" s="24" t="str">
        <f aca="false">IF(F9="","",VLOOKUP(F9,規格資料庫!$A$2:$E$162,3,FALSE())*C9)</f>
        <v/>
      </c>
      <c r="N9" s="25" t="str">
        <f aca="false">IF(OR(B9="",D9=""),"",C9*(D9-I9/2)/1000)</f>
        <v/>
      </c>
      <c r="O9" s="25" t="str">
        <f aca="false">IF(OR(B9="",H9="否",H9=""),"",C9)</f>
        <v/>
      </c>
      <c r="P9" s="25" t="str">
        <f aca="false">IF(OR(B9="",G9="無",G9=""),"",C9)</f>
        <v/>
      </c>
    </row>
    <row r="10" customFormat="false" ht="15" hidden="false" customHeight="true" outlineLevel="0" collapsed="false">
      <c r="A10" s="21"/>
      <c r="B10" s="26"/>
      <c r="C10" s="21"/>
      <c r="D10" s="21"/>
      <c r="E10" s="26"/>
      <c r="F10" s="26"/>
      <c r="G10" s="26"/>
      <c r="H10" s="26"/>
      <c r="I10" s="34" t="str">
        <f aca="false">IFERROR(VLOOKUP(B10,規格資料庫!$A$2:$E$162,4,FALSE()),"")</f>
        <v/>
      </c>
      <c r="J10" s="34" t="str">
        <f aca="false">IFERROR(VLOOKUP(B10,規格資料庫!$A$2:$E$162,5,FALSE()),"")</f>
        <v/>
      </c>
      <c r="K10" s="24" t="str">
        <f aca="false">IF(B10="","",VLOOKUP(B10,規格資料庫!$A$2:$E$162,3,FALSE())*C10)</f>
        <v/>
      </c>
      <c r="L10" s="24" t="str">
        <f aca="false">IF(OR(E10="",J10="",J10=0),"",VLOOKUP(E10,規格資料庫!$A$2:$E$162,3,FALSE())*(1000/J10)*C10)</f>
        <v/>
      </c>
      <c r="M10" s="24" t="str">
        <f aca="false">IF(F10="","",VLOOKUP(F10,規格資料庫!$A$2:$E$162,3,FALSE())*C10)</f>
        <v/>
      </c>
      <c r="N10" s="25" t="str">
        <f aca="false">IF(OR(B10="",D10=""),"",C10*(D10-I10/2)/1000)</f>
        <v/>
      </c>
      <c r="O10" s="25" t="str">
        <f aca="false">IF(OR(B10="",H10="否",H10=""),"",C10)</f>
        <v/>
      </c>
      <c r="P10" s="25" t="str">
        <f aca="false">IF(OR(B10="",G10="無",G10=""),"",C10)</f>
        <v/>
      </c>
    </row>
    <row r="11" customFormat="false" ht="15" hidden="false" customHeight="true" outlineLevel="0" collapsed="false">
      <c r="A11" s="21"/>
      <c r="B11" s="26"/>
      <c r="C11" s="21"/>
      <c r="D11" s="21"/>
      <c r="E11" s="26"/>
      <c r="F11" s="26"/>
      <c r="G11" s="26"/>
      <c r="H11" s="26"/>
      <c r="I11" s="34" t="str">
        <f aca="false">IFERROR(VLOOKUP(B11,規格資料庫!$A$2:$E$162,4,FALSE()),"")</f>
        <v/>
      </c>
      <c r="J11" s="34" t="str">
        <f aca="false">IFERROR(VLOOKUP(B11,規格資料庫!$A$2:$E$162,5,FALSE()),"")</f>
        <v/>
      </c>
      <c r="K11" s="24" t="str">
        <f aca="false">IF(B11="","",VLOOKUP(B11,規格資料庫!$A$2:$E$162,3,FALSE())*C11)</f>
        <v/>
      </c>
      <c r="L11" s="24" t="str">
        <f aca="false">IF(OR(E11="",J11="",J11=0),"",VLOOKUP(E11,規格資料庫!$A$2:$E$162,3,FALSE())*(1000/J11)*C11)</f>
        <v/>
      </c>
      <c r="M11" s="24" t="str">
        <f aca="false">IF(F11="","",VLOOKUP(F11,規格資料庫!$A$2:$E$162,3,FALSE())*C11)</f>
        <v/>
      </c>
      <c r="N11" s="25" t="str">
        <f aca="false">IF(OR(B11="",D11=""),"",C11*(D11-I11/2)/1000)</f>
        <v/>
      </c>
      <c r="O11" s="25" t="str">
        <f aca="false">IF(OR(B11="",H11="否",H11=""),"",C11)</f>
        <v/>
      </c>
      <c r="P11" s="25" t="str">
        <f aca="false">IF(OR(B11="",G11="無",G11=""),"",C11)</f>
        <v/>
      </c>
    </row>
    <row r="12" customFormat="false" ht="15" hidden="false" customHeight="true" outlineLevel="0" collapsed="false">
      <c r="A12" s="21"/>
      <c r="B12" s="26"/>
      <c r="C12" s="21"/>
      <c r="D12" s="21"/>
      <c r="E12" s="26"/>
      <c r="F12" s="26"/>
      <c r="G12" s="26"/>
      <c r="H12" s="26"/>
      <c r="I12" s="34" t="str">
        <f aca="false">IFERROR(VLOOKUP(B12,規格資料庫!$A$2:$E$162,4,FALSE()),"")</f>
        <v/>
      </c>
      <c r="J12" s="34" t="str">
        <f aca="false">IFERROR(VLOOKUP(B12,規格資料庫!$A$2:$E$162,5,FALSE()),"")</f>
        <v/>
      </c>
      <c r="K12" s="24" t="str">
        <f aca="false">IF(B12="","",VLOOKUP(B12,規格資料庫!$A$2:$E$162,3,FALSE())*C12)</f>
        <v/>
      </c>
      <c r="L12" s="24" t="str">
        <f aca="false">IF(OR(E12="",J12="",J12=0),"",VLOOKUP(E12,規格資料庫!$A$2:$E$162,3,FALSE())*(1000/J12)*C12)</f>
        <v/>
      </c>
      <c r="M12" s="24" t="str">
        <f aca="false">IF(F12="","",VLOOKUP(F12,規格資料庫!$A$2:$E$162,3,FALSE())*C12)</f>
        <v/>
      </c>
      <c r="N12" s="25" t="str">
        <f aca="false">IF(OR(B12="",D12=""),"",C12*(D12-I12/2)/1000)</f>
        <v/>
      </c>
      <c r="O12" s="25" t="str">
        <f aca="false">IF(OR(B12="",H12="否",H12=""),"",C12)</f>
        <v/>
      </c>
      <c r="P12" s="25" t="str">
        <f aca="false">IF(OR(B12="",G12="無",G12=""),"",C12)</f>
        <v/>
      </c>
    </row>
    <row r="13" customFormat="false" ht="15" hidden="false" customHeight="true" outlineLevel="0" collapsed="false">
      <c r="A13" s="21"/>
      <c r="B13" s="26"/>
      <c r="C13" s="21"/>
      <c r="D13" s="21"/>
      <c r="E13" s="26"/>
      <c r="F13" s="26"/>
      <c r="G13" s="26"/>
      <c r="H13" s="26"/>
      <c r="I13" s="34" t="str">
        <f aca="false">IFERROR(VLOOKUP(B13,規格資料庫!$A$2:$E$162,4,FALSE()),"")</f>
        <v/>
      </c>
      <c r="J13" s="34" t="str">
        <f aca="false">IFERROR(VLOOKUP(B13,規格資料庫!$A$2:$E$162,5,FALSE()),"")</f>
        <v/>
      </c>
      <c r="K13" s="24" t="str">
        <f aca="false">IF(B13="","",VLOOKUP(B13,規格資料庫!$A$2:$E$162,3,FALSE())*C13)</f>
        <v/>
      </c>
      <c r="L13" s="24" t="str">
        <f aca="false">IF(OR(E13="",J13="",J13=0),"",VLOOKUP(E13,規格資料庫!$A$2:$E$162,3,FALSE())*(1000/J13)*C13)</f>
        <v/>
      </c>
      <c r="M13" s="24" t="str">
        <f aca="false">IF(F13="","",VLOOKUP(F13,規格資料庫!$A$2:$E$162,3,FALSE())*C13)</f>
        <v/>
      </c>
      <c r="N13" s="25" t="str">
        <f aca="false">IF(OR(B13="",D13=""),"",C13*(D13-I13/2)/1000)</f>
        <v/>
      </c>
      <c r="O13" s="25" t="str">
        <f aca="false">IF(OR(B13="",H13="否",H13=""),"",C13)</f>
        <v/>
      </c>
      <c r="P13" s="25" t="str">
        <f aca="false">IF(OR(B13="",G13="無",G13=""),"",C13)</f>
        <v/>
      </c>
    </row>
    <row r="14" customFormat="false" ht="15" hidden="false" customHeight="true" outlineLevel="0" collapsed="false">
      <c r="A14" s="21"/>
      <c r="B14" s="26"/>
      <c r="C14" s="21"/>
      <c r="D14" s="21"/>
      <c r="E14" s="26"/>
      <c r="F14" s="26"/>
      <c r="G14" s="26"/>
      <c r="H14" s="26"/>
      <c r="I14" s="34" t="str">
        <f aca="false">IFERROR(VLOOKUP(B14,規格資料庫!$A$2:$E$162,4,FALSE()),"")</f>
        <v/>
      </c>
      <c r="J14" s="34" t="str">
        <f aca="false">IFERROR(VLOOKUP(B14,規格資料庫!$A$2:$E$162,5,FALSE()),"")</f>
        <v/>
      </c>
      <c r="K14" s="24" t="str">
        <f aca="false">IF(B14="","",VLOOKUP(B14,規格資料庫!$A$2:$E$162,3,FALSE())*C14)</f>
        <v/>
      </c>
      <c r="L14" s="24" t="str">
        <f aca="false">IF(OR(E14="",J14="",J14=0),"",VLOOKUP(E14,規格資料庫!$A$2:$E$162,3,FALSE())*(1000/J14)*C14)</f>
        <v/>
      </c>
      <c r="M14" s="24" t="str">
        <f aca="false">IF(F14="","",VLOOKUP(F14,規格資料庫!$A$2:$E$162,3,FALSE())*C14)</f>
        <v/>
      </c>
      <c r="N14" s="25" t="str">
        <f aca="false">IF(OR(B14="",D14=""),"",C14*(D14-I14/2)/1000)</f>
        <v/>
      </c>
      <c r="O14" s="25" t="str">
        <f aca="false">IF(OR(B14="",H14="否",H14=""),"",C14)</f>
        <v/>
      </c>
      <c r="P14" s="25" t="str">
        <f aca="false">IF(OR(B14="",G14="無",G14=""),"",C14)</f>
        <v/>
      </c>
    </row>
    <row r="15" customFormat="false" ht="29.25" hidden="false" customHeight="true" outlineLevel="0" collapsed="false">
      <c r="A15" s="35" t="s">
        <v>126</v>
      </c>
      <c r="B15" s="27"/>
      <c r="C15" s="27"/>
      <c r="D15" s="27"/>
      <c r="E15" s="27"/>
      <c r="F15" s="27"/>
      <c r="G15" s="27"/>
      <c r="H15" s="27"/>
      <c r="I15" s="27"/>
      <c r="J15" s="27"/>
      <c r="K15" s="28" t="n">
        <f aca="false">SUM(K3:K14)</f>
        <v>31680</v>
      </c>
      <c r="L15" s="28" t="n">
        <f aca="false">SUM(L3:L14)</f>
        <v>4727.86885245902</v>
      </c>
      <c r="M15" s="28" t="n">
        <f aca="false">SUM(M3:M14)</f>
        <v>2232</v>
      </c>
      <c r="N15" s="29" t="n">
        <f aca="false">SUM(N3:N14)</f>
        <v>171.6</v>
      </c>
      <c r="O15" s="29" t="n">
        <f aca="false">SUM(O3:O14)</f>
        <v>1500</v>
      </c>
      <c r="P15" s="29" t="n">
        <f aca="false">SUM(P3:P14)</f>
        <v>1500</v>
      </c>
      <c r="Q15" s="30" t="n">
        <f aca="false">SUMIF(G3:G14,"防火漆1hr",P3:P14)</f>
        <v>500</v>
      </c>
      <c r="R15" s="30" t="n">
        <f aca="false">SUMIF(G3:G14,"防火漆2hr",P3:P14)</f>
        <v>1000</v>
      </c>
    </row>
  </sheetData>
  <mergeCells count="1">
    <mergeCell ref="A1:P1"/>
  </mergeCells>
  <dataValidations count="5">
    <dataValidation allowBlank="true" errorStyle="stop" operator="between" prompt="選Deck型號" promptTitle="▼ 下拉選單" showDropDown="false" showErrorMessage="false" showInputMessage="true" sqref="B3:B14" type="list">
      <formula1>"3.0W-1.2mm"</formula1>
      <formula2>0</formula2>
    </dataValidation>
    <dataValidation allowBlank="true" errorStyle="stop" operator="between" prompt="選WWM規格" promptTitle="▼ 下拉選單" showDropDown="false" showErrorMessage="false" showInputMessage="true" sqref="F3:F14" type="list">
      <formula1>"φ3.2@100×100,φ3.2@150×150,φ4.0@100×100,φ4.0@150×150,φ4.0@200×200,φ5.0@100×100,φ5.0@150×150,φ5.0@200×200,φ6.0@100×100,φ6.0@150×150,φ6.0@200×200"</formula1>
      <formula2>0</formula2>
    </dataValidation>
    <dataValidation allowBlank="true" errorStyle="stop" operator="between" prompt="選底層筋" promptTitle="▼ 下拉選單" showDropDown="false" showErrorMessage="false" showInputMessage="true" sqref="E3:E14" type="list">
      <formula1>"#3(D10),#4(D13),#5(D16)"</formula1>
      <formula2>0</formula2>
    </dataValidation>
    <dataValidation allowBlank="true" errorStyle="stop" operator="between" prompt="選防火漆時效" promptTitle="▼ 下拉選單" showDropDown="false" showErrorMessage="false" showInputMessage="true" sqref="G3:G14" type="list">
      <formula1>"防火漆1hr,防火漆2hr,無"</formula1>
      <formula2>0</formula2>
    </dataValidation>
    <dataValidation allowBlank="true" errorStyle="stop" operator="between" prompt="是否粉光" promptTitle="▼ 下拉選單" showDropDown="false" showErrorMessage="false" showInputMessage="true" sqref="H3:H14" type="list">
      <formula1>"否,是"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X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11"/>
    <col collapsed="false" customWidth="true" hidden="false" outlineLevel="0" max="4" min="4" style="1" width="22"/>
    <col collapsed="false" customWidth="true" hidden="false" outlineLevel="0" max="7" min="5" style="1" width="12"/>
    <col collapsed="false" customWidth="true" hidden="false" outlineLevel="0" max="8" min="8" style="1" width="7"/>
    <col collapsed="false" customWidth="true" hidden="false" outlineLevel="0" max="10" min="9" style="1" width="13"/>
    <col collapsed="false" customWidth="true" hidden="false" outlineLevel="0" max="11" min="11" style="1" width="10"/>
    <col collapsed="false" customWidth="true" hidden="false" outlineLevel="0" max="13" min="12" style="1" width="12"/>
  </cols>
  <sheetData>
    <row r="1" customFormat="false" ht="15" hidden="false" customHeight="true" outlineLevel="0" collapsed="false">
      <c r="A1" s="3" t="s">
        <v>127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43.5" hidden="false" customHeight="true" outlineLevel="0" collapsed="false">
      <c r="A2" s="12" t="s">
        <v>128</v>
      </c>
      <c r="B2" s="12" t="s">
        <v>37</v>
      </c>
      <c r="C2" s="12" t="s">
        <v>36</v>
      </c>
      <c r="D2" s="12" t="s">
        <v>38</v>
      </c>
      <c r="E2" s="12" t="s">
        <v>39</v>
      </c>
      <c r="F2" s="12" t="s">
        <v>40</v>
      </c>
      <c r="G2" s="12" t="s">
        <v>129</v>
      </c>
      <c r="H2" s="12" t="s">
        <v>41</v>
      </c>
      <c r="I2" s="12" t="s">
        <v>42</v>
      </c>
      <c r="J2" s="12" t="s">
        <v>43</v>
      </c>
      <c r="K2" s="12" t="s">
        <v>45</v>
      </c>
      <c r="L2" s="12" t="s">
        <v>47</v>
      </c>
      <c r="M2" s="12" t="s">
        <v>48</v>
      </c>
    </row>
    <row r="3" customFormat="false" ht="15" hidden="false" customHeight="true" outlineLevel="0" collapsed="false">
      <c r="A3" s="32" t="s">
        <v>130</v>
      </c>
      <c r="B3" s="19" t="s">
        <v>131</v>
      </c>
      <c r="C3" s="18" t="s">
        <v>76</v>
      </c>
      <c r="D3" s="18" t="s">
        <v>78</v>
      </c>
      <c r="E3" s="18" t="s">
        <v>32</v>
      </c>
      <c r="F3" s="19" t="n">
        <v>5000</v>
      </c>
      <c r="G3" s="21"/>
      <c r="H3" s="19" t="n">
        <v>2</v>
      </c>
      <c r="I3" s="20" t="s">
        <v>74</v>
      </c>
      <c r="J3" s="21"/>
      <c r="K3" s="22" t="n">
        <f aca="false">IFERROR(VLOOKUP(D3,規格資料庫!$A$2:$E$162,3,FALSE()),"")</f>
        <v>18.6</v>
      </c>
      <c r="L3" s="24" t="n">
        <f aca="false">IF(K3="","",IF(OR(G3="",G3=0),K3*F3/1000*H3,K3*F3/1000*G3/1000*H3))</f>
        <v>186</v>
      </c>
      <c r="M3" s="25" t="n">
        <f aca="false">IF(OR(D3="",I3="",I3="無"),"",IF(OR(G3="",G3=0),IFERROR(VLOOKUP(D3,規格資料庫!$A$2:$E$162,4,FALSE()),0)*IF(OR(J3="",J3=0),F3,J3)/1000*H3,IF(OR(J3="",J3=0),F3,J3)/1000*G3/1000*H3))</f>
        <v>5.87</v>
      </c>
      <c r="N3" s="1" t="str">
        <f aca="false">IFERROR(VLOOKUP(D3,規格資料庫!$A$2:$B$162,2,FALSE()),"")</f>
        <v>C</v>
      </c>
    </row>
    <row r="4" customFormat="false" ht="15" hidden="false" customHeight="true" outlineLevel="0" collapsed="false">
      <c r="A4" s="32" t="s">
        <v>130</v>
      </c>
      <c r="B4" s="19" t="s">
        <v>132</v>
      </c>
      <c r="C4" s="18" t="s">
        <v>133</v>
      </c>
      <c r="D4" s="18" t="s">
        <v>134</v>
      </c>
      <c r="E4" s="18" t="s">
        <v>32</v>
      </c>
      <c r="F4" s="19" t="n">
        <v>250</v>
      </c>
      <c r="G4" s="19" t="n">
        <v>1200</v>
      </c>
      <c r="H4" s="19" t="n">
        <v>12</v>
      </c>
      <c r="I4" s="20" t="s">
        <v>125</v>
      </c>
      <c r="J4" s="21"/>
      <c r="K4" s="22" t="n">
        <f aca="false">IFERROR(VLOOKUP(D4,規格資料庫!$A$2:$E$162,3,FALSE()),"")</f>
        <v>32</v>
      </c>
      <c r="L4" s="24" t="n">
        <f aca="false">IF(K4="","",IF(OR(G4="",G4=0),K4*F4/1000*H4,K4*F4/1000*G4/1000*H4))</f>
        <v>115.2</v>
      </c>
      <c r="M4" s="25" t="str">
        <f aca="false">IF(OR(D4="",I4="",I4="無"),"",IF(OR(G4="",G4=0),IFERROR(VLOOKUP(D4,規格資料庫!$A$2:$E$162,4,FALSE()),0)*IF(OR(J4="",J4=0),F4,J4)/1000*H4,IF(OR(J4="",J4=0),F4,J4)/1000*G4/1000*H4))</f>
        <v/>
      </c>
      <c r="N4" s="1" t="str">
        <f aca="false">IFERROR(VLOOKUP(D4,規格資料庫!$A$2:$B$162,2,FALSE()),"")</f>
        <v>GR</v>
      </c>
    </row>
    <row r="5" customFormat="false" ht="15" hidden="false" customHeight="true" outlineLevel="0" collapsed="false">
      <c r="A5" s="32" t="s">
        <v>130</v>
      </c>
      <c r="B5" s="19" t="s">
        <v>135</v>
      </c>
      <c r="C5" s="18" t="s">
        <v>136</v>
      </c>
      <c r="D5" s="18" t="s">
        <v>137</v>
      </c>
      <c r="E5" s="18" t="s">
        <v>32</v>
      </c>
      <c r="F5" s="19" t="n">
        <v>1500</v>
      </c>
      <c r="G5" s="19" t="n">
        <v>2000</v>
      </c>
      <c r="H5" s="19" t="n">
        <v>1</v>
      </c>
      <c r="I5" s="20" t="s">
        <v>74</v>
      </c>
      <c r="J5" s="21"/>
      <c r="K5" s="22" t="n">
        <f aca="false">IFERROR(VLOOKUP(D5,規格資料庫!$A$2:$E$162,3,FALSE()),"")</f>
        <v>47.1</v>
      </c>
      <c r="L5" s="24" t="n">
        <f aca="false">IF(K5="","",IF(OR(G5="",G5=0),K5*F5/1000*H5,K5*F5/1000*G5/1000*H5))</f>
        <v>141.3</v>
      </c>
      <c r="M5" s="25" t="n">
        <f aca="false">IF(OR(D5="",I5="",I5="無"),"",IF(OR(G5="",G5=0),IFERROR(VLOOKUP(D5,規格資料庫!$A$2:$E$162,4,FALSE()),0)*IF(OR(J5="",J5=0),F5,J5)/1000*H5,IF(OR(J5="",J5=0),F5,J5)/1000*G5/1000*H5))</f>
        <v>3</v>
      </c>
      <c r="N5" s="1" t="str">
        <f aca="false">IFERROR(VLOOKUP(D5,規格資料庫!$A$2:$B$162,2,FALSE()),"")</f>
        <v>PL</v>
      </c>
    </row>
    <row r="6" customFormat="false" ht="15" hidden="false" customHeight="true" outlineLevel="0" collapsed="false">
      <c r="A6" s="32" t="s">
        <v>130</v>
      </c>
      <c r="B6" s="19" t="s">
        <v>138</v>
      </c>
      <c r="C6" s="18" t="s">
        <v>139</v>
      </c>
      <c r="D6" s="18" t="s">
        <v>140</v>
      </c>
      <c r="E6" s="18" t="s">
        <v>32</v>
      </c>
      <c r="F6" s="19" t="n">
        <v>1500</v>
      </c>
      <c r="G6" s="19" t="n">
        <v>2000</v>
      </c>
      <c r="H6" s="19" t="n">
        <v>1</v>
      </c>
      <c r="I6" s="20" t="s">
        <v>125</v>
      </c>
      <c r="J6" s="21"/>
      <c r="K6" s="22" t="n">
        <f aca="false">IFERROR(VLOOKUP(D6,規格資料庫!$A$2:$E$162,3,FALSE()),"")</f>
        <v>1.97</v>
      </c>
      <c r="L6" s="24" t="n">
        <f aca="false">IF(K6="","",IF(OR(G6="",G6=0),K6*F6/1000*H6,K6*F6/1000*G6/1000*H6))</f>
        <v>5.91</v>
      </c>
      <c r="M6" s="25" t="str">
        <f aca="false">IF(OR(D6="",I6="",I6="無"),"",IF(OR(G6="",G6=0),IFERROR(VLOOKUP(D6,規格資料庫!$A$2:$E$162,4,FALSE()),0)*IF(OR(J6="",J6=0),F6,J6)/1000*H6,IF(OR(J6="",J6=0),F6,J6)/1000*G6/1000*H6))</f>
        <v/>
      </c>
      <c r="N6" s="1" t="str">
        <f aca="false">IFERROR(VLOOKUP(D6,規格資料庫!$A$2:$B$162,2,FALSE()),"")</f>
        <v>WWM</v>
      </c>
    </row>
    <row r="7" customFormat="false" ht="15" hidden="false" customHeight="true" outlineLevel="0" collapsed="false">
      <c r="A7" s="32" t="s">
        <v>130</v>
      </c>
      <c r="B7" s="19" t="s">
        <v>141</v>
      </c>
      <c r="C7" s="18" t="s">
        <v>76</v>
      </c>
      <c r="D7" s="18" t="s">
        <v>78</v>
      </c>
      <c r="E7" s="18" t="s">
        <v>32</v>
      </c>
      <c r="F7" s="19" t="n">
        <v>2000</v>
      </c>
      <c r="G7" s="21"/>
      <c r="H7" s="19" t="n">
        <v>2</v>
      </c>
      <c r="I7" s="20" t="s">
        <v>74</v>
      </c>
      <c r="J7" s="21"/>
      <c r="K7" s="22" t="n">
        <f aca="false">IFERROR(VLOOKUP(D7,規格資料庫!$A$2:$E$162,3,FALSE()),"")</f>
        <v>18.6</v>
      </c>
      <c r="L7" s="24" t="n">
        <f aca="false">IF(K7="","",IF(OR(G7="",G7=0),K7*F7/1000*H7,K7*F7/1000*G7/1000*H7))</f>
        <v>74.4</v>
      </c>
      <c r="M7" s="25" t="n">
        <f aca="false">IF(OR(D7="",I7="",I7="無"),"",IF(OR(G7="",G7=0),IFERROR(VLOOKUP(D7,規格資料庫!$A$2:$E$162,4,FALSE()),0)*IF(OR(J7="",J7=0),F7,J7)/1000*H7,IF(OR(J7="",J7=0),F7,J7)/1000*G7/1000*H7))</f>
        <v>2.348</v>
      </c>
      <c r="N7" s="1" t="str">
        <f aca="false">IFERROR(VLOOKUP(D7,規格資料庫!$A$2:$B$162,2,FALSE()),"")</f>
        <v>C</v>
      </c>
    </row>
    <row r="8" customFormat="false" ht="15" hidden="false" customHeight="true" outlineLevel="0" collapsed="false">
      <c r="A8" s="32" t="s">
        <v>142</v>
      </c>
      <c r="B8" s="19" t="s">
        <v>131</v>
      </c>
      <c r="C8" s="18" t="s">
        <v>76</v>
      </c>
      <c r="D8" s="18" t="s">
        <v>143</v>
      </c>
      <c r="E8" s="18" t="s">
        <v>32</v>
      </c>
      <c r="F8" s="19" t="n">
        <v>6000</v>
      </c>
      <c r="G8" s="21"/>
      <c r="H8" s="19" t="n">
        <v>2</v>
      </c>
      <c r="I8" s="20" t="s">
        <v>61</v>
      </c>
      <c r="J8" s="21"/>
      <c r="K8" s="22" t="n">
        <f aca="false">IFERROR(VLOOKUP(D8,規格資料庫!$A$2:$E$162,3,FALSE()),"")</f>
        <v>24.6</v>
      </c>
      <c r="L8" s="24" t="n">
        <f aca="false">IF(K8="","",IF(OR(G8="",G8=0),K8*F8/1000*H8,K8*F8/1000*G8/1000*H8))</f>
        <v>295.2</v>
      </c>
      <c r="M8" s="25" t="n">
        <f aca="false">IF(OR(D8="",I8="",I8="無"),"",IF(OR(G8="",G8=0),IFERROR(VLOOKUP(D8,規格資料庫!$A$2:$E$162,4,FALSE()),0)*IF(OR(J8="",J8=0),F8,J8)/1000*H8,IF(OR(J8="",J8=0),F8,J8)/1000*G8/1000*H8))</f>
        <v>8.46</v>
      </c>
      <c r="N8" s="1" t="str">
        <f aca="false">IFERROR(VLOOKUP(D8,規格資料庫!$A$2:$B$162,2,FALSE()),"")</f>
        <v>C</v>
      </c>
    </row>
    <row r="9" customFormat="false" ht="15" hidden="false" customHeight="true" outlineLevel="0" collapsed="false">
      <c r="A9" s="32" t="s">
        <v>142</v>
      </c>
      <c r="B9" s="19" t="s">
        <v>144</v>
      </c>
      <c r="C9" s="18" t="s">
        <v>145</v>
      </c>
      <c r="D9" s="18" t="s">
        <v>146</v>
      </c>
      <c r="E9" s="18" t="s">
        <v>32</v>
      </c>
      <c r="F9" s="19" t="n">
        <v>250</v>
      </c>
      <c r="G9" s="19" t="n">
        <v>1200</v>
      </c>
      <c r="H9" s="19" t="n">
        <v>15</v>
      </c>
      <c r="I9" s="20" t="s">
        <v>125</v>
      </c>
      <c r="J9" s="21"/>
      <c r="K9" s="22" t="n">
        <f aca="false">IFERROR(VLOOKUP(D9,規格資料庫!$A$2:$E$162,3,FALSE()),"")</f>
        <v>49.3</v>
      </c>
      <c r="L9" s="24" t="n">
        <f aca="false">IF(K9="","",IF(OR(G9="",G9=0),K9*F9/1000*H9,K9*F9/1000*G9/1000*H9))</f>
        <v>221.85</v>
      </c>
      <c r="M9" s="25" t="str">
        <f aca="false">IF(OR(D9="",I9="",I9="無"),"",IF(OR(G9="",G9=0),IFERROR(VLOOKUP(D9,規格資料庫!$A$2:$E$162,4,FALSE()),0)*IF(OR(J9="",J9=0),F9,J9)/1000*H9,IF(OR(J9="",J9=0),F9,J9)/1000*G9/1000*H9))</f>
        <v/>
      </c>
      <c r="N9" s="1" t="str">
        <f aca="false">IFERROR(VLOOKUP(D9,規格資料庫!$A$2:$B$162,2,FALSE()),"")</f>
        <v>CP</v>
      </c>
    </row>
    <row r="10" customFormat="false" ht="15" hidden="false" customHeight="true" outlineLevel="0" collapsed="false">
      <c r="A10" s="32" t="s">
        <v>142</v>
      </c>
      <c r="B10" s="19" t="s">
        <v>135</v>
      </c>
      <c r="C10" s="18" t="s">
        <v>136</v>
      </c>
      <c r="D10" s="18" t="s">
        <v>137</v>
      </c>
      <c r="E10" s="18" t="s">
        <v>32</v>
      </c>
      <c r="F10" s="19" t="n">
        <v>1800</v>
      </c>
      <c r="G10" s="19" t="n">
        <v>2000</v>
      </c>
      <c r="H10" s="19" t="n">
        <v>2</v>
      </c>
      <c r="I10" s="20" t="s">
        <v>61</v>
      </c>
      <c r="J10" s="21"/>
      <c r="K10" s="22" t="n">
        <f aca="false">IFERROR(VLOOKUP(D10,規格資料庫!$A$2:$E$162,3,FALSE()),"")</f>
        <v>47.1</v>
      </c>
      <c r="L10" s="24" t="n">
        <f aca="false">IF(K10="","",IF(OR(G10="",G10=0),K10*F10/1000*H10,K10*F10/1000*G10/1000*H10))</f>
        <v>339.12</v>
      </c>
      <c r="M10" s="25" t="n">
        <f aca="false">IF(OR(D10="",I10="",I10="無"),"",IF(OR(G10="",G10=0),IFERROR(VLOOKUP(D10,規格資料庫!$A$2:$E$162,4,FALSE()),0)*IF(OR(J10="",J10=0),F10,J10)/1000*H10,IF(OR(J10="",J10=0),F10,J10)/1000*G10/1000*H10))</f>
        <v>7.2</v>
      </c>
      <c r="N10" s="1" t="str">
        <f aca="false">IFERROR(VLOOKUP(D10,規格資料庫!$A$2:$B$162,2,FALSE()),"")</f>
        <v>PL</v>
      </c>
    </row>
    <row r="11" customFormat="false" ht="15" hidden="false" customHeight="true" outlineLevel="0" collapsed="false">
      <c r="A11" s="32" t="s">
        <v>142</v>
      </c>
      <c r="B11" s="19" t="s">
        <v>141</v>
      </c>
      <c r="C11" s="18" t="s">
        <v>49</v>
      </c>
      <c r="D11" s="18" t="s">
        <v>57</v>
      </c>
      <c r="E11" s="18" t="s">
        <v>24</v>
      </c>
      <c r="F11" s="19" t="n">
        <v>2000</v>
      </c>
      <c r="G11" s="21"/>
      <c r="H11" s="19" t="n">
        <v>2</v>
      </c>
      <c r="I11" s="20" t="s">
        <v>61</v>
      </c>
      <c r="J11" s="21"/>
      <c r="K11" s="22" t="n">
        <f aca="false">IFERROR(VLOOKUP(D11,規格資料庫!$A$2:$E$162,3,FALSE()),"")</f>
        <v>29.9</v>
      </c>
      <c r="L11" s="24" t="n">
        <f aca="false">IF(K11="","",IF(OR(G11="",G11=0),K11*F11/1000*H11,K11*F11/1000*G11/1000*H11))</f>
        <v>119.6</v>
      </c>
      <c r="M11" s="25" t="n">
        <f aca="false">IF(OR(D11="",I11="",I11="無"),"",IF(OR(G11="",G11=0),IFERROR(VLOOKUP(D11,規格資料庫!$A$2:$E$162,4,FALSE()),0)*IF(OR(J11="",J11=0),F11,J11)/1000*H11,IF(OR(J11="",J11=0),F11,J11)/1000*G11/1000*H11))</f>
        <v>3.904</v>
      </c>
      <c r="N11" s="1" t="str">
        <f aca="false">IFERROR(VLOOKUP(D11,規格資料庫!$A$2:$B$162,2,FALSE()),"")</f>
        <v>H</v>
      </c>
    </row>
    <row r="12" customFormat="false" ht="15" hidden="false" customHeight="true" outlineLevel="0" collapsed="false">
      <c r="A12" s="21"/>
      <c r="B12" s="21"/>
      <c r="C12" s="26"/>
      <c r="D12" s="26"/>
      <c r="E12" s="26"/>
      <c r="F12" s="21"/>
      <c r="G12" s="21"/>
      <c r="H12" s="21"/>
      <c r="I12" s="26"/>
      <c r="J12" s="21"/>
      <c r="K12" s="22" t="str">
        <f aca="false">IFERROR(VLOOKUP(D12,規格資料庫!$A$2:$E$162,3,FALSE()),"")</f>
        <v/>
      </c>
      <c r="L12" s="24" t="str">
        <f aca="false">IF(K12="","",IF(OR(G12="",G12=0),K12*F12/1000*H12,K12*F12/1000*G12/1000*H12))</f>
        <v/>
      </c>
      <c r="M12" s="25" t="str">
        <f aca="false">IF(OR(D12="",I12="",I12="無"),"",IF(OR(G12="",G12=0),IFERROR(VLOOKUP(D12,規格資料庫!$A$2:$E$162,4,FALSE()),0)*IF(OR(J12="",J12=0),F12,J12)/1000*H12,IF(OR(J12="",J12=0),F12,J12)/1000*G12/1000*H12))</f>
        <v/>
      </c>
      <c r="N12" s="1" t="str">
        <f aca="false">IFERROR(VLOOKUP(D12,規格資料庫!$A$2:$B$162,2,FALSE()),"")</f>
        <v/>
      </c>
    </row>
    <row r="13" customFormat="false" ht="15" hidden="false" customHeight="true" outlineLevel="0" collapsed="false">
      <c r="A13" s="21"/>
      <c r="B13" s="21"/>
      <c r="C13" s="26"/>
      <c r="D13" s="26"/>
      <c r="E13" s="26"/>
      <c r="F13" s="21"/>
      <c r="G13" s="21"/>
      <c r="H13" s="21"/>
      <c r="I13" s="26"/>
      <c r="J13" s="21"/>
      <c r="K13" s="22" t="str">
        <f aca="false">IFERROR(VLOOKUP(D13,規格資料庫!$A$2:$E$162,3,FALSE()),"")</f>
        <v/>
      </c>
      <c r="L13" s="24" t="str">
        <f aca="false">IF(K13="","",IF(OR(G13="",G13=0),K13*F13/1000*H13,K13*F13/1000*G13/1000*H13))</f>
        <v/>
      </c>
      <c r="M13" s="25" t="str">
        <f aca="false">IF(OR(D13="",I13="",I13="無"),"",IF(OR(G13="",G13=0),IFERROR(VLOOKUP(D13,規格資料庫!$A$2:$E$162,4,FALSE()),0)*IF(OR(J13="",J13=0),F13,J13)/1000*H13,IF(OR(J13="",J13=0),F13,J13)/1000*G13/1000*H13))</f>
        <v/>
      </c>
      <c r="N13" s="1" t="str">
        <f aca="false">IFERROR(VLOOKUP(D13,規格資料庫!$A$2:$B$162,2,FALSE()),"")</f>
        <v/>
      </c>
    </row>
    <row r="14" customFormat="false" ht="15" hidden="false" customHeight="true" outlineLevel="0" collapsed="false">
      <c r="A14" s="21"/>
      <c r="B14" s="21"/>
      <c r="C14" s="26"/>
      <c r="D14" s="26"/>
      <c r="E14" s="26"/>
      <c r="F14" s="21"/>
      <c r="G14" s="21"/>
      <c r="H14" s="21"/>
      <c r="I14" s="26"/>
      <c r="J14" s="21"/>
      <c r="K14" s="22" t="str">
        <f aca="false">IFERROR(VLOOKUP(D14,規格資料庫!$A$2:$E$162,3,FALSE()),"")</f>
        <v/>
      </c>
      <c r="L14" s="24" t="str">
        <f aca="false">IF(K14="","",IF(OR(G14="",G14=0),K14*F14/1000*H14,K14*F14/1000*G14/1000*H14))</f>
        <v/>
      </c>
      <c r="M14" s="25" t="str">
        <f aca="false">IF(OR(D14="",I14="",I14="無"),"",IF(OR(G14="",G14=0),IFERROR(VLOOKUP(D14,規格資料庫!$A$2:$E$162,4,FALSE()),0)*IF(OR(J14="",J14=0),F14,J14)/1000*H14,IF(OR(J14="",J14=0),F14,J14)/1000*G14/1000*H14))</f>
        <v/>
      </c>
      <c r="N14" s="1" t="str">
        <f aca="false">IFERROR(VLOOKUP(D14,規格資料庫!$A$2:$B$162,2,FALSE()),"")</f>
        <v/>
      </c>
    </row>
    <row r="15" customFormat="false" ht="15" hidden="false" customHeight="true" outlineLevel="0" collapsed="false">
      <c r="A15" s="21"/>
      <c r="B15" s="21"/>
      <c r="C15" s="26"/>
      <c r="D15" s="26"/>
      <c r="E15" s="26"/>
      <c r="F15" s="21"/>
      <c r="G15" s="21"/>
      <c r="H15" s="21"/>
      <c r="I15" s="26"/>
      <c r="J15" s="21"/>
      <c r="K15" s="22" t="str">
        <f aca="false">IFERROR(VLOOKUP(D15,規格資料庫!$A$2:$E$162,3,FALSE()),"")</f>
        <v/>
      </c>
      <c r="L15" s="24" t="str">
        <f aca="false">IF(K15="","",IF(OR(G15="",G15=0),K15*F15/1000*H15,K15*F15/1000*G15/1000*H15))</f>
        <v/>
      </c>
      <c r="M15" s="25" t="str">
        <f aca="false">IF(OR(D15="",I15="",I15="無"),"",IF(OR(G15="",G15=0),IFERROR(VLOOKUP(D15,規格資料庫!$A$2:$E$162,4,FALSE()),0)*IF(OR(J15="",J15=0),F15,J15)/1000*H15,IF(OR(J15="",J15=0),F15,J15)/1000*G15/1000*H15))</f>
        <v/>
      </c>
      <c r="N15" s="1" t="str">
        <f aca="false">IFERROR(VLOOKUP(D15,規格資料庫!$A$2:$B$162,2,FALSE()),"")</f>
        <v/>
      </c>
    </row>
    <row r="16" customFormat="false" ht="15" hidden="false" customHeight="true" outlineLevel="0" collapsed="false">
      <c r="A16" s="21"/>
      <c r="B16" s="21"/>
      <c r="C16" s="26"/>
      <c r="D16" s="26"/>
      <c r="E16" s="26"/>
      <c r="F16" s="21"/>
      <c r="G16" s="21"/>
      <c r="H16" s="21"/>
      <c r="I16" s="26"/>
      <c r="J16" s="21"/>
      <c r="K16" s="22" t="str">
        <f aca="false">IFERROR(VLOOKUP(D16,規格資料庫!$A$2:$E$162,3,FALSE()),"")</f>
        <v/>
      </c>
      <c r="L16" s="24" t="str">
        <f aca="false">IF(K16="","",IF(OR(G16="",G16=0),K16*F16/1000*H16,K16*F16/1000*G16/1000*H16))</f>
        <v/>
      </c>
      <c r="M16" s="25" t="str">
        <f aca="false">IF(OR(D16="",I16="",I16="無"),"",IF(OR(G16="",G16=0),IFERROR(VLOOKUP(D16,規格資料庫!$A$2:$E$162,4,FALSE()),0)*IF(OR(J16="",J16=0),F16,J16)/1000*H16,IF(OR(J16="",J16=0),F16,J16)/1000*G16/1000*H16))</f>
        <v/>
      </c>
      <c r="N16" s="1" t="str">
        <f aca="false">IFERROR(VLOOKUP(D16,規格資料庫!$A$2:$B$162,2,FALSE()),"")</f>
        <v/>
      </c>
    </row>
    <row r="17" customFormat="false" ht="15" hidden="false" customHeight="true" outlineLevel="0" collapsed="false">
      <c r="A17" s="21"/>
      <c r="B17" s="21"/>
      <c r="C17" s="26"/>
      <c r="D17" s="26"/>
      <c r="E17" s="26"/>
      <c r="F17" s="21"/>
      <c r="G17" s="21"/>
      <c r="H17" s="21"/>
      <c r="I17" s="26"/>
      <c r="J17" s="21"/>
      <c r="K17" s="22" t="str">
        <f aca="false">IFERROR(VLOOKUP(D17,規格資料庫!$A$2:$E$162,3,FALSE()),"")</f>
        <v/>
      </c>
      <c r="L17" s="24" t="str">
        <f aca="false">IF(K17="","",IF(OR(G17="",G17=0),K17*F17/1000*H17,K17*F17/1000*G17/1000*H17))</f>
        <v/>
      </c>
      <c r="M17" s="25" t="str">
        <f aca="false">IF(OR(D17="",I17="",I17="無"),"",IF(OR(G17="",G17=0),IFERROR(VLOOKUP(D17,規格資料庫!$A$2:$E$162,4,FALSE()),0)*IF(OR(J17="",J17=0),F17,J17)/1000*H17,IF(OR(J17="",J17=0),F17,J17)/1000*G17/1000*H17))</f>
        <v/>
      </c>
      <c r="N17" s="1" t="str">
        <f aca="false">IFERROR(VLOOKUP(D17,規格資料庫!$A$2:$B$162,2,FALSE()),"")</f>
        <v/>
      </c>
    </row>
    <row r="18" customFormat="false" ht="15" hidden="false" customHeight="true" outlineLevel="0" collapsed="false">
      <c r="A18" s="21"/>
      <c r="B18" s="21"/>
      <c r="C18" s="26"/>
      <c r="D18" s="26"/>
      <c r="E18" s="26"/>
      <c r="F18" s="21"/>
      <c r="G18" s="21"/>
      <c r="H18" s="21"/>
      <c r="I18" s="26"/>
      <c r="J18" s="21"/>
      <c r="K18" s="22" t="str">
        <f aca="false">IFERROR(VLOOKUP(D18,規格資料庫!$A$2:$E$162,3,FALSE()),"")</f>
        <v/>
      </c>
      <c r="L18" s="24" t="str">
        <f aca="false">IF(K18="","",IF(OR(G18="",G18=0),K18*F18/1000*H18,K18*F18/1000*G18/1000*H18))</f>
        <v/>
      </c>
      <c r="M18" s="25" t="str">
        <f aca="false">IF(OR(D18="",I18="",I18="無"),"",IF(OR(G18="",G18=0),IFERROR(VLOOKUP(D18,規格資料庫!$A$2:$E$162,4,FALSE()),0)*IF(OR(J18="",J18=0),F18,J18)/1000*H18,IF(OR(J18="",J18=0),F18,J18)/1000*G18/1000*H18))</f>
        <v/>
      </c>
      <c r="N18" s="1" t="str">
        <f aca="false">IFERROR(VLOOKUP(D18,規格資料庫!$A$2:$B$162,2,FALSE()),"")</f>
        <v/>
      </c>
    </row>
    <row r="19" customFormat="false" ht="15" hidden="false" customHeight="true" outlineLevel="0" collapsed="false">
      <c r="A19" s="21"/>
      <c r="B19" s="21"/>
      <c r="C19" s="26"/>
      <c r="D19" s="26"/>
      <c r="E19" s="26"/>
      <c r="F19" s="21"/>
      <c r="G19" s="21"/>
      <c r="H19" s="21"/>
      <c r="I19" s="26"/>
      <c r="J19" s="21"/>
      <c r="K19" s="22" t="str">
        <f aca="false">IFERROR(VLOOKUP(D19,規格資料庫!$A$2:$E$162,3,FALSE()),"")</f>
        <v/>
      </c>
      <c r="L19" s="24" t="str">
        <f aca="false">IF(K19="","",IF(OR(G19="",G19=0),K19*F19/1000*H19,K19*F19/1000*G19/1000*H19))</f>
        <v/>
      </c>
      <c r="M19" s="25" t="str">
        <f aca="false">IF(OR(D19="",I19="",I19="無"),"",IF(OR(G19="",G19=0),IFERROR(VLOOKUP(D19,規格資料庫!$A$2:$E$162,4,FALSE()),0)*IF(OR(J19="",J19=0),F19,J19)/1000*H19,IF(OR(J19="",J19=0),F19,J19)/1000*G19/1000*H19))</f>
        <v/>
      </c>
      <c r="N19" s="1" t="str">
        <f aca="false">IFERROR(VLOOKUP(D19,規格資料庫!$A$2:$B$162,2,FALSE()),"")</f>
        <v/>
      </c>
    </row>
    <row r="20" customFormat="false" ht="15" hidden="false" customHeight="true" outlineLevel="0" collapsed="false">
      <c r="A20" s="21"/>
      <c r="B20" s="21"/>
      <c r="C20" s="26"/>
      <c r="D20" s="26"/>
      <c r="E20" s="26"/>
      <c r="F20" s="21"/>
      <c r="G20" s="21"/>
      <c r="H20" s="21"/>
      <c r="I20" s="26"/>
      <c r="J20" s="21"/>
      <c r="K20" s="22" t="str">
        <f aca="false">IFERROR(VLOOKUP(D20,規格資料庫!$A$2:$E$162,3,FALSE()),"")</f>
        <v/>
      </c>
      <c r="L20" s="24" t="str">
        <f aca="false">IF(K20="","",IF(OR(G20="",G20=0),K20*F20/1000*H20,K20*F20/1000*G20/1000*H20))</f>
        <v/>
      </c>
      <c r="M20" s="25" t="str">
        <f aca="false">IF(OR(D20="",I20="",I20="無"),"",IF(OR(G20="",G20=0),IFERROR(VLOOKUP(D20,規格資料庫!$A$2:$E$162,4,FALSE()),0)*IF(OR(J20="",J20=0),F20,J20)/1000*H20,IF(OR(J20="",J20=0),F20,J20)/1000*G20/1000*H20))</f>
        <v/>
      </c>
      <c r="N20" s="1" t="str">
        <f aca="false">IFERROR(VLOOKUP(D20,規格資料庫!$A$2:$B$162,2,FALSE()),"")</f>
        <v/>
      </c>
    </row>
    <row r="21" customFormat="false" ht="15" hidden="false" customHeight="true" outlineLevel="0" collapsed="false">
      <c r="A21" s="21"/>
      <c r="B21" s="21"/>
      <c r="C21" s="26"/>
      <c r="D21" s="26"/>
      <c r="E21" s="26"/>
      <c r="F21" s="21"/>
      <c r="G21" s="21"/>
      <c r="H21" s="21"/>
      <c r="I21" s="26"/>
      <c r="J21" s="21"/>
      <c r="K21" s="22" t="str">
        <f aca="false">IFERROR(VLOOKUP(D21,規格資料庫!$A$2:$E$162,3,FALSE()),"")</f>
        <v/>
      </c>
      <c r="L21" s="24" t="str">
        <f aca="false">IF(K21="","",IF(OR(G21="",G21=0),K21*F21/1000*H21,K21*F21/1000*G21/1000*H21))</f>
        <v/>
      </c>
      <c r="M21" s="25" t="str">
        <f aca="false">IF(OR(D21="",I21="",I21="無"),"",IF(OR(G21="",G21=0),IFERROR(VLOOKUP(D21,規格資料庫!$A$2:$E$162,4,FALSE()),0)*IF(OR(J21="",J21=0),F21,J21)/1000*H21,IF(OR(J21="",J21=0),F21,J21)/1000*G21/1000*H21))</f>
        <v/>
      </c>
      <c r="N21" s="1" t="str">
        <f aca="false">IFERROR(VLOOKUP(D21,規格資料庫!$A$2:$B$162,2,FALSE()),"")</f>
        <v/>
      </c>
    </row>
    <row r="22" customFormat="false" ht="15" hidden="false" customHeight="true" outlineLevel="0" collapsed="false">
      <c r="A22" s="21"/>
      <c r="B22" s="21"/>
      <c r="C22" s="26"/>
      <c r="D22" s="26"/>
      <c r="E22" s="26"/>
      <c r="F22" s="21"/>
      <c r="G22" s="21"/>
      <c r="H22" s="21"/>
      <c r="I22" s="26"/>
      <c r="J22" s="21"/>
      <c r="K22" s="22" t="str">
        <f aca="false">IFERROR(VLOOKUP(D22,規格資料庫!$A$2:$E$162,3,FALSE()),"")</f>
        <v/>
      </c>
      <c r="L22" s="24" t="str">
        <f aca="false">IF(K22="","",IF(OR(G22="",G22=0),K22*F22/1000*H22,K22*F22/1000*G22/1000*H22))</f>
        <v/>
      </c>
      <c r="M22" s="25" t="str">
        <f aca="false">IF(OR(D22="",I22="",I22="無"),"",IF(OR(G22="",G22=0),IFERROR(VLOOKUP(D22,規格資料庫!$A$2:$E$162,4,FALSE()),0)*IF(OR(J22="",J22=0),F22,J22)/1000*H22,IF(OR(J22="",J22=0),F22,J22)/1000*G22/1000*H22))</f>
        <v/>
      </c>
      <c r="N22" s="1" t="str">
        <f aca="false">IFERROR(VLOOKUP(D22,規格資料庫!$A$2:$B$162,2,FALSE()),"")</f>
        <v/>
      </c>
    </row>
    <row r="23" customFormat="false" ht="15" hidden="false" customHeight="true" outlineLevel="0" collapsed="false">
      <c r="A23" s="21"/>
      <c r="B23" s="21"/>
      <c r="C23" s="26"/>
      <c r="D23" s="26"/>
      <c r="E23" s="26"/>
      <c r="F23" s="21"/>
      <c r="G23" s="21"/>
      <c r="H23" s="21"/>
      <c r="I23" s="26"/>
      <c r="J23" s="21"/>
      <c r="K23" s="22" t="str">
        <f aca="false">IFERROR(VLOOKUP(D23,規格資料庫!$A$2:$E$162,3,FALSE()),"")</f>
        <v/>
      </c>
      <c r="L23" s="24" t="str">
        <f aca="false">IF(K23="","",IF(OR(G23="",G23=0),K23*F23/1000*H23,K23*F23/1000*G23/1000*H23))</f>
        <v/>
      </c>
      <c r="M23" s="25" t="str">
        <f aca="false">IF(OR(D23="",I23="",I23="無"),"",IF(OR(G23="",G23=0),IFERROR(VLOOKUP(D23,規格資料庫!$A$2:$E$162,4,FALSE()),0)*IF(OR(J23="",J23=0),F23,J23)/1000*H23,IF(OR(J23="",J23=0),F23,J23)/1000*G23/1000*H23))</f>
        <v/>
      </c>
      <c r="N23" s="1" t="str">
        <f aca="false">IFERROR(VLOOKUP(D23,規格資料庫!$A$2:$B$162,2,FALSE()),"")</f>
        <v/>
      </c>
    </row>
    <row r="24" customFormat="false" ht="15" hidden="false" customHeight="true" outlineLevel="0" collapsed="false">
      <c r="A24" s="21"/>
      <c r="B24" s="21"/>
      <c r="C24" s="26"/>
      <c r="D24" s="26"/>
      <c r="E24" s="26"/>
      <c r="F24" s="21"/>
      <c r="G24" s="21"/>
      <c r="H24" s="21"/>
      <c r="I24" s="26"/>
      <c r="J24" s="21"/>
      <c r="K24" s="22" t="str">
        <f aca="false">IFERROR(VLOOKUP(D24,規格資料庫!$A$2:$E$162,3,FALSE()),"")</f>
        <v/>
      </c>
      <c r="L24" s="24" t="str">
        <f aca="false">IF(K24="","",IF(OR(G24="",G24=0),K24*F24/1000*H24,K24*F24/1000*G24/1000*H24))</f>
        <v/>
      </c>
      <c r="M24" s="25" t="str">
        <f aca="false">IF(OR(D24="",I24="",I24="無"),"",IF(OR(G24="",G24=0),IFERROR(VLOOKUP(D24,規格資料庫!$A$2:$E$162,4,FALSE()),0)*IF(OR(J24="",J24=0),F24,J24)/1000*H24,IF(OR(J24="",J24=0),F24,J24)/1000*G24/1000*H24))</f>
        <v/>
      </c>
      <c r="N24" s="1" t="str">
        <f aca="false">IFERROR(VLOOKUP(D24,規格資料庫!$A$2:$B$162,2,FALSE()),"")</f>
        <v/>
      </c>
    </row>
    <row r="25" customFormat="false" ht="15" hidden="false" customHeight="true" outlineLevel="0" collapsed="false">
      <c r="A25" s="21"/>
      <c r="B25" s="21"/>
      <c r="C25" s="26"/>
      <c r="D25" s="26"/>
      <c r="E25" s="26"/>
      <c r="F25" s="21"/>
      <c r="G25" s="21"/>
      <c r="H25" s="21"/>
      <c r="I25" s="26"/>
      <c r="J25" s="21"/>
      <c r="K25" s="22" t="str">
        <f aca="false">IFERROR(VLOOKUP(D25,規格資料庫!$A$2:$E$162,3,FALSE()),"")</f>
        <v/>
      </c>
      <c r="L25" s="24" t="str">
        <f aca="false">IF(K25="","",IF(OR(G25="",G25=0),K25*F25/1000*H25,K25*F25/1000*G25/1000*H25))</f>
        <v/>
      </c>
      <c r="M25" s="25" t="str">
        <f aca="false">IF(OR(D25="",I25="",I25="無"),"",IF(OR(G25="",G25=0),IFERROR(VLOOKUP(D25,規格資料庫!$A$2:$E$162,4,FALSE()),0)*IF(OR(J25="",J25=0),F25,J25)/1000*H25,IF(OR(J25="",J25=0),F25,J25)/1000*G25/1000*H25))</f>
        <v/>
      </c>
      <c r="N25" s="1" t="str">
        <f aca="false">IFERROR(VLOOKUP(D25,規格資料庫!$A$2:$B$162,2,FALSE()),"")</f>
        <v/>
      </c>
    </row>
    <row r="26" customFormat="false" ht="15" hidden="false" customHeight="true" outlineLevel="0" collapsed="false">
      <c r="A26" s="21"/>
      <c r="B26" s="21"/>
      <c r="C26" s="26"/>
      <c r="D26" s="26"/>
      <c r="E26" s="26"/>
      <c r="F26" s="21"/>
      <c r="G26" s="21"/>
      <c r="H26" s="21"/>
      <c r="I26" s="26"/>
      <c r="J26" s="21"/>
      <c r="K26" s="22" t="str">
        <f aca="false">IFERROR(VLOOKUP(D26,規格資料庫!$A$2:$E$162,3,FALSE()),"")</f>
        <v/>
      </c>
      <c r="L26" s="24" t="str">
        <f aca="false">IF(K26="","",IF(OR(G26="",G26=0),K26*F26/1000*H26,K26*F26/1000*G26/1000*H26))</f>
        <v/>
      </c>
      <c r="M26" s="25" t="str">
        <f aca="false">IF(OR(D26="",I26="",I26="無"),"",IF(OR(G26="",G26=0),IFERROR(VLOOKUP(D26,規格資料庫!$A$2:$E$162,4,FALSE()),0)*IF(OR(J26="",J26=0),F26,J26)/1000*H26,IF(OR(J26="",J26=0),F26,J26)/1000*G26/1000*H26))</f>
        <v/>
      </c>
      <c r="N26" s="1" t="str">
        <f aca="false">IFERROR(VLOOKUP(D26,規格資料庫!$A$2:$B$162,2,FALSE()),"")</f>
        <v/>
      </c>
    </row>
    <row r="27" customFormat="false" ht="15" hidden="false" customHeight="true" outlineLevel="0" collapsed="false">
      <c r="A27" s="21"/>
      <c r="B27" s="21"/>
      <c r="C27" s="26"/>
      <c r="D27" s="26"/>
      <c r="E27" s="26"/>
      <c r="F27" s="21"/>
      <c r="G27" s="21"/>
      <c r="H27" s="21"/>
      <c r="I27" s="26"/>
      <c r="J27" s="21"/>
      <c r="K27" s="22" t="str">
        <f aca="false">IFERROR(VLOOKUP(D27,規格資料庫!$A$2:$E$162,3,FALSE()),"")</f>
        <v/>
      </c>
      <c r="L27" s="24" t="str">
        <f aca="false">IF(K27="","",IF(OR(G27="",G27=0),K27*F27/1000*H27,K27*F27/1000*G27/1000*H27))</f>
        <v/>
      </c>
      <c r="M27" s="25" t="str">
        <f aca="false">IF(OR(D27="",I27="",I27="無"),"",IF(OR(G27="",G27=0),IFERROR(VLOOKUP(D27,規格資料庫!$A$2:$E$162,4,FALSE()),0)*IF(OR(J27="",J27=0),F27,J27)/1000*H27,IF(OR(J27="",J27=0),F27,J27)/1000*G27/1000*H27))</f>
        <v/>
      </c>
      <c r="N27" s="1" t="str">
        <f aca="false">IFERROR(VLOOKUP(D27,規格資料庫!$A$2:$B$162,2,FALSE()),"")</f>
        <v/>
      </c>
    </row>
    <row r="28" customFormat="false" ht="15" hidden="false" customHeight="true" outlineLevel="0" collapsed="false">
      <c r="A28" s="21"/>
      <c r="B28" s="21"/>
      <c r="C28" s="26"/>
      <c r="D28" s="26"/>
      <c r="E28" s="26"/>
      <c r="F28" s="21"/>
      <c r="G28" s="21"/>
      <c r="H28" s="21"/>
      <c r="I28" s="26"/>
      <c r="J28" s="21"/>
      <c r="K28" s="22" t="str">
        <f aca="false">IFERROR(VLOOKUP(D28,規格資料庫!$A$2:$E$162,3,FALSE()),"")</f>
        <v/>
      </c>
      <c r="L28" s="24" t="str">
        <f aca="false">IF(K28="","",IF(OR(G28="",G28=0),K28*F28/1000*H28,K28*F28/1000*G28/1000*H28))</f>
        <v/>
      </c>
      <c r="M28" s="25" t="str">
        <f aca="false">IF(OR(D28="",I28="",I28="無"),"",IF(OR(G28="",G28=0),IFERROR(VLOOKUP(D28,規格資料庫!$A$2:$E$162,4,FALSE()),0)*IF(OR(J28="",J28=0),F28,J28)/1000*H28,IF(OR(J28="",J28=0),F28,J28)/1000*G28/1000*H28))</f>
        <v/>
      </c>
      <c r="N28" s="1" t="str">
        <f aca="false">IFERROR(VLOOKUP(D28,規格資料庫!$A$2:$B$162,2,FALSE()),"")</f>
        <v/>
      </c>
    </row>
    <row r="29" customFormat="false" ht="15" hidden="false" customHeight="true" outlineLevel="0" collapsed="false">
      <c r="A29" s="21"/>
      <c r="B29" s="21"/>
      <c r="C29" s="26"/>
      <c r="D29" s="26"/>
      <c r="E29" s="26"/>
      <c r="F29" s="21"/>
      <c r="G29" s="21"/>
      <c r="H29" s="21"/>
      <c r="I29" s="26"/>
      <c r="J29" s="21"/>
      <c r="K29" s="22" t="str">
        <f aca="false">IFERROR(VLOOKUP(D29,規格資料庫!$A$2:$E$162,3,FALSE()),"")</f>
        <v/>
      </c>
      <c r="L29" s="24" t="str">
        <f aca="false">IF(K29="","",IF(OR(G29="",G29=0),K29*F29/1000*H29,K29*F29/1000*G29/1000*H29))</f>
        <v/>
      </c>
      <c r="M29" s="25" t="str">
        <f aca="false">IF(OR(D29="",I29="",I29="無"),"",IF(OR(G29="",G29=0),IFERROR(VLOOKUP(D29,規格資料庫!$A$2:$E$162,4,FALSE()),0)*IF(OR(J29="",J29=0),F29,J29)/1000*H29,IF(OR(J29="",J29=0),F29,J29)/1000*G29/1000*H29))</f>
        <v/>
      </c>
      <c r="N29" s="1" t="str">
        <f aca="false">IFERROR(VLOOKUP(D29,規格資料庫!$A$2:$B$162,2,FALSE()),"")</f>
        <v/>
      </c>
    </row>
    <row r="30" customFormat="false" ht="15" hidden="false" customHeight="true" outlineLevel="0" collapsed="false">
      <c r="A30" s="21"/>
      <c r="B30" s="21"/>
      <c r="C30" s="26"/>
      <c r="D30" s="26"/>
      <c r="E30" s="26"/>
      <c r="F30" s="21"/>
      <c r="G30" s="21"/>
      <c r="H30" s="21"/>
      <c r="I30" s="26"/>
      <c r="J30" s="21"/>
      <c r="K30" s="22" t="str">
        <f aca="false">IFERROR(VLOOKUP(D30,規格資料庫!$A$2:$E$162,3,FALSE()),"")</f>
        <v/>
      </c>
      <c r="L30" s="24" t="str">
        <f aca="false">IF(K30="","",IF(OR(G30="",G30=0),K30*F30/1000*H30,K30*F30/1000*G30/1000*H30))</f>
        <v/>
      </c>
      <c r="M30" s="25" t="str">
        <f aca="false">IF(OR(D30="",I30="",I30="無"),"",IF(OR(G30="",G30=0),IFERROR(VLOOKUP(D30,規格資料庫!$A$2:$E$162,4,FALSE()),0)*IF(OR(J30="",J30=0),F30,J30)/1000*H30,IF(OR(J30="",J30=0),F30,J30)/1000*G30/1000*H30))</f>
        <v/>
      </c>
      <c r="N30" s="1" t="str">
        <f aca="false">IFERROR(VLOOKUP(D30,規格資料庫!$A$2:$B$162,2,FALSE()),"")</f>
        <v/>
      </c>
    </row>
    <row r="31" customFormat="false" ht="15" hidden="false" customHeight="true" outlineLevel="0" collapsed="false">
      <c r="A31" s="21"/>
      <c r="B31" s="21"/>
      <c r="C31" s="26"/>
      <c r="D31" s="26"/>
      <c r="E31" s="26"/>
      <c r="F31" s="21"/>
      <c r="G31" s="21"/>
      <c r="H31" s="21"/>
      <c r="I31" s="26"/>
      <c r="J31" s="21"/>
      <c r="K31" s="22" t="str">
        <f aca="false">IFERROR(VLOOKUP(D31,規格資料庫!$A$2:$E$162,3,FALSE()),"")</f>
        <v/>
      </c>
      <c r="L31" s="24" t="str">
        <f aca="false">IF(K31="","",IF(OR(G31="",G31=0),K31*F31/1000*H31,K31*F31/1000*G31/1000*H31))</f>
        <v/>
      </c>
      <c r="M31" s="25" t="str">
        <f aca="false">IF(OR(D31="",I31="",I31="無"),"",IF(OR(G31="",G31=0),IFERROR(VLOOKUP(D31,規格資料庫!$A$2:$E$162,4,FALSE()),0)*IF(OR(J31="",J31=0),F31,J31)/1000*H31,IF(OR(J31="",J31=0),F31,J31)/1000*G31/1000*H31))</f>
        <v/>
      </c>
      <c r="N31" s="1" t="str">
        <f aca="false">IFERROR(VLOOKUP(D31,規格資料庫!$A$2:$B$162,2,FALSE()),"")</f>
        <v/>
      </c>
    </row>
    <row r="32" customFormat="false" ht="15" hidden="false" customHeight="true" outlineLevel="0" collapsed="false">
      <c r="A32" s="21"/>
      <c r="B32" s="21"/>
      <c r="C32" s="26"/>
      <c r="D32" s="26"/>
      <c r="E32" s="26"/>
      <c r="F32" s="21"/>
      <c r="G32" s="21"/>
      <c r="H32" s="21"/>
      <c r="I32" s="26"/>
      <c r="J32" s="21"/>
      <c r="K32" s="22" t="str">
        <f aca="false">IFERROR(VLOOKUP(D32,規格資料庫!$A$2:$E$162,3,FALSE()),"")</f>
        <v/>
      </c>
      <c r="L32" s="24" t="str">
        <f aca="false">IF(K32="","",IF(OR(G32="",G32=0),K32*F32/1000*H32,K32*F32/1000*G32/1000*H32))</f>
        <v/>
      </c>
      <c r="M32" s="25" t="str">
        <f aca="false">IF(OR(D32="",I32="",I32="無"),"",IF(OR(G32="",G32=0),IFERROR(VLOOKUP(D32,規格資料庫!$A$2:$E$162,4,FALSE()),0)*IF(OR(J32="",J32=0),F32,J32)/1000*H32,IF(OR(J32="",J32=0),F32,J32)/1000*G32/1000*H32))</f>
        <v/>
      </c>
      <c r="N32" s="1" t="str">
        <f aca="false">IFERROR(VLOOKUP(D32,規格資料庫!$A$2:$B$162,2,FALSE()),"")</f>
        <v/>
      </c>
    </row>
    <row r="33" customFormat="false" ht="15" hidden="false" customHeight="true" outlineLevel="0" collapsed="false">
      <c r="A33" s="27" t="s">
        <v>147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8" t="n">
        <f aca="false">SUM(L3:L32)</f>
        <v>1498.58</v>
      </c>
      <c r="M33" s="29" t="n">
        <f aca="false">SUM(M3:M32)</f>
        <v>30.782</v>
      </c>
      <c r="O33" s="30" t="n">
        <f aca="false">SUMIF(I3:I32,"油漆",M3:M32)</f>
        <v>0</v>
      </c>
      <c r="P33" s="30" t="n">
        <f aca="false">SUMIF(I3:I32,"防火漆1hr",M3:M32)</f>
        <v>11.218</v>
      </c>
      <c r="Q33" s="30" t="n">
        <f aca="false">SUMIF(I3:I32,"防火漆2hr",M3:M32)</f>
        <v>19.564</v>
      </c>
      <c r="R33" s="30" t="n">
        <f aca="false">SUMIF(I3:I32,"防火批覆",M3:M32)</f>
        <v>0</v>
      </c>
      <c r="S33" s="31" t="n">
        <f aca="false">SUMPRODUCT((E3:E32="SN400B")*IF(ISNUMBER(L3:L32),L3:L32,0))</f>
        <v>119.6</v>
      </c>
      <c r="T33" s="31" t="n">
        <f aca="false">SUMPRODUCT((E3:E32="A36")*IF(ISNUMBER(L3:L32),L3:L32,0))</f>
        <v>1378.98</v>
      </c>
      <c r="U33" s="31" t="n">
        <f aca="false">SUMPRODUCT((E3:E32="SN490B")*IF(ISNUMBER(L3:L32),L3:L32,0))</f>
        <v>0</v>
      </c>
      <c r="V33" s="31" t="n">
        <f aca="false">SUMPRODUCT((E3:E32="A572 Gr.50")*IF(ISNUMBER(L3:L32),L3:L32,0))</f>
        <v>0</v>
      </c>
      <c r="W33" s="31" t="n">
        <f aca="false">SUMPRODUCT((N3:N32="GR")*IF(ISNUMBER(L3:L32),L3:L32,0))</f>
        <v>115.2</v>
      </c>
      <c r="X33" s="31" t="n">
        <f aca="false">SUMPRODUCT((N3:N32="CP")*IF(ISNUMBER(L3:L32),L3:L32,0))</f>
        <v>221.85</v>
      </c>
    </row>
  </sheetData>
  <mergeCells count="1">
    <mergeCell ref="A1:M1"/>
  </mergeCells>
  <dataValidations count="33">
    <dataValidation allowBlank="true" errorStyle="stop" operator="between" showDropDown="false" showErrorMessage="false" showInputMessage="false" sqref="C3:C32" type="list">
      <formula1>prefix_list</formula1>
      <formula2>0</formula2>
    </dataValidation>
    <dataValidation allowBlank="true" errorStyle="stop" operator="between" showDropDown="false" showErrorMessage="false" showInputMessage="false" sqref="E3:E32" type="list">
      <formula1>"SN400B,SN490B,A572 Gr.50,A36"</formula1>
      <formula2>0</formula2>
    </dataValidation>
    <dataValidation allowBlank="true" errorStyle="stop" operator="between" showDropDown="false" showErrorMessage="false" showInputMessage="false" sqref="I3:I32" type="list">
      <formula1>"油漆,防火漆1hr,防火漆2hr,防火批覆,無"</formula1>
      <formula2>0</formula2>
    </dataValidation>
    <dataValidation allowBlank="true" errorStyle="stop" operator="between" showDropDown="false" showErrorMessage="false" showInputMessage="false" sqref="D3" type="list">
      <formula1>INDIRECT("spec_"&amp;SUBSTITUTE(SUBSTITUTE(SUBSTITUTE(SUBSTITUTE(SUBSTITUTE(SUBSTITUTE(SUBSTITUTE(C3,".","_"),"-","_"),"@","_")," ","_"),"φ","d"),"(","_"),")","_"))</formula1>
      <formula2>0</formula2>
    </dataValidation>
    <dataValidation allowBlank="true" errorStyle="stop" operator="between" showDropDown="false" showErrorMessage="false" showInputMessage="false" sqref="D4" type="list">
      <formula1>INDIRECT("spec_"&amp;SUBSTITUTE(SUBSTITUTE(SUBSTITUTE(SUBSTITUTE(SUBSTITUTE(SUBSTITUTE(SUBSTITUTE(C4,".","_"),"-","_"),"@","_")," ","_"),"φ","d"),"(","_"),")","_"))</formula1>
      <formula2>0</formula2>
    </dataValidation>
    <dataValidation allowBlank="true" errorStyle="stop" operator="between" showDropDown="false" showErrorMessage="false" showInputMessage="false" sqref="D5" type="list">
      <formula1>INDIRECT("spec_"&amp;SUBSTITUTE(SUBSTITUTE(SUBSTITUTE(SUBSTITUTE(SUBSTITUTE(SUBSTITUTE(SUBSTITUTE(C5,".","_"),"-","_"),"@","_")," ","_"),"φ","d"),"(","_"),")","_"))</formula1>
      <formula2>0</formula2>
    </dataValidation>
    <dataValidation allowBlank="true" errorStyle="stop" operator="between" showDropDown="false" showErrorMessage="false" showInputMessage="false" sqref="D6" type="list">
      <formula1>INDIRECT("spec_"&amp;SUBSTITUTE(SUBSTITUTE(SUBSTITUTE(SUBSTITUTE(SUBSTITUTE(SUBSTITUTE(SUBSTITUTE(C6,".","_"),"-","_"),"@","_")," ","_"),"φ","d"),"(","_"),")","_"))</formula1>
      <formula2>0</formula2>
    </dataValidation>
    <dataValidation allowBlank="true" errorStyle="stop" operator="between" showDropDown="false" showErrorMessage="false" showInputMessage="false" sqref="D7" type="list">
      <formula1>INDIRECT("spec_"&amp;SUBSTITUTE(SUBSTITUTE(SUBSTITUTE(SUBSTITUTE(SUBSTITUTE(SUBSTITUTE(SUBSTITUTE(C7,".","_"),"-","_"),"@","_")," ","_"),"φ","d"),"(","_"),")","_"))</formula1>
      <formula2>0</formula2>
    </dataValidation>
    <dataValidation allowBlank="true" errorStyle="stop" operator="between" showDropDown="false" showErrorMessage="false" showInputMessage="false" sqref="D8" type="list">
      <formula1>INDIRECT("spec_"&amp;SUBSTITUTE(SUBSTITUTE(SUBSTITUTE(SUBSTITUTE(SUBSTITUTE(SUBSTITUTE(SUBSTITUTE(C8,".","_"),"-","_"),"@","_")," ","_"),"φ","d"),"(","_"),")","_"))</formula1>
      <formula2>0</formula2>
    </dataValidation>
    <dataValidation allowBlank="true" errorStyle="stop" operator="between" showDropDown="false" showErrorMessage="false" showInputMessage="false" sqref="D9" type="list">
      <formula1>INDIRECT("spec_"&amp;SUBSTITUTE(SUBSTITUTE(SUBSTITUTE(SUBSTITUTE(SUBSTITUTE(SUBSTITUTE(SUBSTITUTE(C9,".","_"),"-","_"),"@","_")," ","_"),"φ","d"),"(","_"),")","_"))</formula1>
      <formula2>0</formula2>
    </dataValidation>
    <dataValidation allowBlank="true" errorStyle="stop" operator="between" showDropDown="false" showErrorMessage="false" showInputMessage="false" sqref="D10" type="list">
      <formula1>INDIRECT("spec_"&amp;SUBSTITUTE(SUBSTITUTE(SUBSTITUTE(SUBSTITUTE(SUBSTITUTE(SUBSTITUTE(SUBSTITUTE(C10,".","_"),"-","_"),"@","_")," ","_"),"φ","d"),"(","_"),")","_"))</formula1>
      <formula2>0</formula2>
    </dataValidation>
    <dataValidation allowBlank="true" errorStyle="stop" operator="between" showDropDown="false" showErrorMessage="false" showInputMessage="false" sqref="D11" type="list">
      <formula1>INDIRECT("spec_"&amp;SUBSTITUTE(SUBSTITUTE(SUBSTITUTE(SUBSTITUTE(SUBSTITUTE(SUBSTITUTE(SUBSTITUTE(C11,".","_"),"-","_"),"@","_")," ","_"),"φ","d"),"(","_"),")","_"))</formula1>
      <formula2>0</formula2>
    </dataValidation>
    <dataValidation allowBlank="true" errorStyle="stop" operator="between" showDropDown="false" showErrorMessage="false" showInputMessage="false" sqref="D12" type="list">
      <formula1>INDIRECT("spec_"&amp;SUBSTITUTE(SUBSTITUTE(SUBSTITUTE(SUBSTITUTE(SUBSTITUTE(SUBSTITUTE(SUBSTITUTE(C12,".","_"),"-","_"),"@","_")," ","_"),"φ","d"),"(","_"),")","_"))</formula1>
      <formula2>0</formula2>
    </dataValidation>
    <dataValidation allowBlank="true" errorStyle="stop" operator="between" showDropDown="false" showErrorMessage="false" showInputMessage="false" sqref="D13" type="list">
      <formula1>INDIRECT("spec_"&amp;SUBSTITUTE(SUBSTITUTE(SUBSTITUTE(SUBSTITUTE(SUBSTITUTE(SUBSTITUTE(SUBSTITUTE(C13,".","_"),"-","_"),"@","_")," ","_"),"φ","d"),"(","_"),")","_"))</formula1>
      <formula2>0</formula2>
    </dataValidation>
    <dataValidation allowBlank="true" errorStyle="stop" operator="between" showDropDown="false" showErrorMessage="false" showInputMessage="false" sqref="D14" type="list">
      <formula1>INDIRECT("spec_"&amp;SUBSTITUTE(SUBSTITUTE(SUBSTITUTE(SUBSTITUTE(SUBSTITUTE(SUBSTITUTE(SUBSTITUTE(C14,".","_"),"-","_"),"@","_")," ","_"),"φ","d"),"(","_"),")","_"))</formula1>
      <formula2>0</formula2>
    </dataValidation>
    <dataValidation allowBlank="true" errorStyle="stop" operator="between" showDropDown="false" showErrorMessage="false" showInputMessage="false" sqref="D15" type="list">
      <formula1>INDIRECT("spec_"&amp;SUBSTITUTE(SUBSTITUTE(SUBSTITUTE(SUBSTITUTE(SUBSTITUTE(SUBSTITUTE(SUBSTITUTE(C15,".","_"),"-","_"),"@","_")," ","_"),"φ","d"),"(","_"),")","_"))</formula1>
      <formula2>0</formula2>
    </dataValidation>
    <dataValidation allowBlank="true" errorStyle="stop" operator="between" showDropDown="false" showErrorMessage="false" showInputMessage="false" sqref="D16" type="list">
      <formula1>INDIRECT("spec_"&amp;SUBSTITUTE(SUBSTITUTE(SUBSTITUTE(SUBSTITUTE(SUBSTITUTE(SUBSTITUTE(SUBSTITUTE(C16,".","_"),"-","_"),"@","_")," ","_"),"φ","d"),"(","_"),")","_"))</formula1>
      <formula2>0</formula2>
    </dataValidation>
    <dataValidation allowBlank="true" errorStyle="stop" operator="between" showDropDown="false" showErrorMessage="false" showInputMessage="false" sqref="D17" type="list">
      <formula1>INDIRECT("spec_"&amp;SUBSTITUTE(SUBSTITUTE(SUBSTITUTE(SUBSTITUTE(SUBSTITUTE(SUBSTITUTE(SUBSTITUTE(C17,".","_"),"-","_"),"@","_")," ","_"),"φ","d"),"(","_"),")","_"))</formula1>
      <formula2>0</formula2>
    </dataValidation>
    <dataValidation allowBlank="true" errorStyle="stop" operator="between" showDropDown="false" showErrorMessage="false" showInputMessage="false" sqref="D18" type="list">
      <formula1>INDIRECT("spec_"&amp;SUBSTITUTE(SUBSTITUTE(SUBSTITUTE(SUBSTITUTE(SUBSTITUTE(SUBSTITUTE(SUBSTITUTE(C18,".","_"),"-","_"),"@","_")," ","_"),"φ","d"),"(","_"),")","_"))</formula1>
      <formula2>0</formula2>
    </dataValidation>
    <dataValidation allowBlank="true" errorStyle="stop" operator="between" showDropDown="false" showErrorMessage="false" showInputMessage="false" sqref="D19" type="list">
      <formula1>INDIRECT("spec_"&amp;SUBSTITUTE(SUBSTITUTE(SUBSTITUTE(SUBSTITUTE(SUBSTITUTE(SUBSTITUTE(SUBSTITUTE(C19,".","_"),"-","_"),"@","_")," ","_"),"φ","d"),"(","_"),")","_"))</formula1>
      <formula2>0</formula2>
    </dataValidation>
    <dataValidation allowBlank="true" errorStyle="stop" operator="between" showDropDown="false" showErrorMessage="false" showInputMessage="false" sqref="D20" type="list">
      <formula1>INDIRECT("spec_"&amp;SUBSTITUTE(SUBSTITUTE(SUBSTITUTE(SUBSTITUTE(SUBSTITUTE(SUBSTITUTE(SUBSTITUTE(C20,".","_"),"-","_"),"@","_")," ","_"),"φ","d"),"(","_"),")","_"))</formula1>
      <formula2>0</formula2>
    </dataValidation>
    <dataValidation allowBlank="true" errorStyle="stop" operator="between" showDropDown="false" showErrorMessage="false" showInputMessage="false" sqref="D21" type="list">
      <formula1>INDIRECT("spec_"&amp;SUBSTITUTE(SUBSTITUTE(SUBSTITUTE(SUBSTITUTE(SUBSTITUTE(SUBSTITUTE(SUBSTITUTE(C21,".","_"),"-","_"),"@","_")," ","_"),"φ","d"),"(","_"),")","_"))</formula1>
      <formula2>0</formula2>
    </dataValidation>
    <dataValidation allowBlank="true" errorStyle="stop" operator="between" showDropDown="false" showErrorMessage="false" showInputMessage="false" sqref="D22" type="list">
      <formula1>INDIRECT("spec_"&amp;SUBSTITUTE(SUBSTITUTE(SUBSTITUTE(SUBSTITUTE(SUBSTITUTE(SUBSTITUTE(SUBSTITUTE(C22,".","_"),"-","_"),"@","_")," ","_"),"φ","d"),"(","_"),")","_"))</formula1>
      <formula2>0</formula2>
    </dataValidation>
    <dataValidation allowBlank="true" errorStyle="stop" operator="between" showDropDown="false" showErrorMessage="false" showInputMessage="false" sqref="D23" type="list">
      <formula1>INDIRECT("spec_"&amp;SUBSTITUTE(SUBSTITUTE(SUBSTITUTE(SUBSTITUTE(SUBSTITUTE(SUBSTITUTE(SUBSTITUTE(C23,".","_"),"-","_"),"@","_")," ","_"),"φ","d"),"(","_"),")","_"))</formula1>
      <formula2>0</formula2>
    </dataValidation>
    <dataValidation allowBlank="true" errorStyle="stop" operator="between" showDropDown="false" showErrorMessage="false" showInputMessage="false" sqref="D24" type="list">
      <formula1>INDIRECT("spec_"&amp;SUBSTITUTE(SUBSTITUTE(SUBSTITUTE(SUBSTITUTE(SUBSTITUTE(SUBSTITUTE(SUBSTITUTE(C24,".","_"),"-","_"),"@","_")," ","_"),"φ","d"),"(","_"),")","_"))</formula1>
      <formula2>0</formula2>
    </dataValidation>
    <dataValidation allowBlank="true" errorStyle="stop" operator="between" showDropDown="false" showErrorMessage="false" showInputMessage="false" sqref="D25" type="list">
      <formula1>INDIRECT("spec_"&amp;SUBSTITUTE(SUBSTITUTE(SUBSTITUTE(SUBSTITUTE(SUBSTITUTE(SUBSTITUTE(SUBSTITUTE(C25,".","_"),"-","_"),"@","_")," ","_"),"φ","d"),"(","_"),")","_"))</formula1>
      <formula2>0</formula2>
    </dataValidation>
    <dataValidation allowBlank="true" errorStyle="stop" operator="between" showDropDown="false" showErrorMessage="false" showInputMessage="false" sqref="D26" type="list">
      <formula1>INDIRECT("spec_"&amp;SUBSTITUTE(SUBSTITUTE(SUBSTITUTE(SUBSTITUTE(SUBSTITUTE(SUBSTITUTE(SUBSTITUTE(C26,".","_"),"-","_"),"@","_")," ","_"),"φ","d"),"(","_"),")","_"))</formula1>
      <formula2>0</formula2>
    </dataValidation>
    <dataValidation allowBlank="true" errorStyle="stop" operator="between" showDropDown="false" showErrorMessage="false" showInputMessage="false" sqref="D27" type="list">
      <formula1>INDIRECT("spec_"&amp;SUBSTITUTE(SUBSTITUTE(SUBSTITUTE(SUBSTITUTE(SUBSTITUTE(SUBSTITUTE(SUBSTITUTE(C27,".","_"),"-","_"),"@","_")," ","_"),"φ","d"),"(","_"),")","_"))</formula1>
      <formula2>0</formula2>
    </dataValidation>
    <dataValidation allowBlank="true" errorStyle="stop" operator="between" showDropDown="false" showErrorMessage="false" showInputMessage="false" sqref="D28" type="list">
      <formula1>INDIRECT("spec_"&amp;SUBSTITUTE(SUBSTITUTE(SUBSTITUTE(SUBSTITUTE(SUBSTITUTE(SUBSTITUTE(SUBSTITUTE(C28,".","_"),"-","_"),"@","_")," ","_"),"φ","d"),"(","_"),")","_"))</formula1>
      <formula2>0</formula2>
    </dataValidation>
    <dataValidation allowBlank="true" errorStyle="stop" operator="between" showDropDown="false" showErrorMessage="false" showInputMessage="false" sqref="D29" type="list">
      <formula1>INDIRECT("spec_"&amp;SUBSTITUTE(SUBSTITUTE(SUBSTITUTE(SUBSTITUTE(SUBSTITUTE(SUBSTITUTE(SUBSTITUTE(C29,".","_"),"-","_"),"@","_")," ","_"),"φ","d"),"(","_"),")","_"))</formula1>
      <formula2>0</formula2>
    </dataValidation>
    <dataValidation allowBlank="true" errorStyle="stop" operator="between" showDropDown="false" showErrorMessage="false" showInputMessage="false" sqref="D30" type="list">
      <formula1>INDIRECT("spec_"&amp;SUBSTITUTE(SUBSTITUTE(SUBSTITUTE(SUBSTITUTE(SUBSTITUTE(SUBSTITUTE(SUBSTITUTE(C30,".","_"),"-","_"),"@","_")," ","_"),"φ","d"),"(","_"),")","_"))</formula1>
      <formula2>0</formula2>
    </dataValidation>
    <dataValidation allowBlank="true" errorStyle="stop" operator="between" showDropDown="false" showErrorMessage="false" showInputMessage="false" sqref="D31" type="list">
      <formula1>INDIRECT("spec_"&amp;SUBSTITUTE(SUBSTITUTE(SUBSTITUTE(SUBSTITUTE(SUBSTITUTE(SUBSTITUTE(SUBSTITUTE(C31,".","_"),"-","_"),"@","_")," ","_"),"φ","d"),"(","_"),")","_"))</formula1>
      <formula2>0</formula2>
    </dataValidation>
    <dataValidation allowBlank="true" errorStyle="stop" operator="between" showDropDown="false" showErrorMessage="false" showInputMessage="false" sqref="D32" type="list">
      <formula1>INDIRECT("spec_"&amp;SUBSTITUTE(SUBSTITUTE(SUBSTITUTE(SUBSTITUTE(SUBSTITUTE(SUBSTITUTE(SUBSTITUTE(C32,".","_"),"-","_"),"@","_")," ","_"),"φ","d"),"(","_"),")","_"))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6" min="2" style="1" width="14"/>
  </cols>
  <sheetData>
    <row r="1" customFormat="false" ht="21" hidden="false" customHeight="true" outlineLevel="0" collapsed="false">
      <c r="A1" s="36" t="s">
        <v>148</v>
      </c>
      <c r="B1" s="36"/>
      <c r="C1" s="36"/>
      <c r="D1" s="36"/>
      <c r="E1" s="36"/>
      <c r="F1" s="36"/>
    </row>
    <row r="2" customFormat="false" ht="15" hidden="false" customHeight="true" outlineLevel="0" collapsed="false">
      <c r="A2" s="37" t="s">
        <v>149</v>
      </c>
      <c r="B2" s="37"/>
      <c r="C2" s="37"/>
      <c r="D2" s="37"/>
      <c r="E2" s="37"/>
      <c r="F2" s="37"/>
    </row>
    <row r="4" customFormat="false" ht="15" hidden="false" customHeight="true" outlineLevel="0" collapsed="false">
      <c r="A4" s="7" t="s">
        <v>150</v>
      </c>
      <c r="B4" s="7"/>
      <c r="C4" s="7"/>
      <c r="D4" s="7"/>
      <c r="E4" s="7"/>
      <c r="F4" s="7"/>
    </row>
    <row r="5" customFormat="false" ht="15" hidden="false" customHeight="true" outlineLevel="0" collapsed="false">
      <c r="A5" s="12" t="s">
        <v>20</v>
      </c>
      <c r="B5" s="12" t="s">
        <v>151</v>
      </c>
      <c r="C5" s="12" t="s">
        <v>152</v>
      </c>
      <c r="D5" s="12" t="s">
        <v>153</v>
      </c>
      <c r="E5" s="12" t="s">
        <v>154</v>
      </c>
      <c r="F5" s="12" t="s">
        <v>155</v>
      </c>
    </row>
    <row r="6" customFormat="false" ht="15" hidden="false" customHeight="true" outlineLevel="0" collapsed="false">
      <c r="A6" s="11" t="s">
        <v>24</v>
      </c>
      <c r="B6" s="24" t="n">
        <f aca="false">'❸ 樓層配置'!M19</f>
        <v>274933.728</v>
      </c>
      <c r="C6" s="24" t="n">
        <f aca="false">'❸ 樓層配置'!S39</f>
        <v>0</v>
      </c>
      <c r="D6" s="24" t="n">
        <f aca="false">'❺ 鋼樓梯'!S33</f>
        <v>119.6</v>
      </c>
      <c r="E6" s="24" t="n">
        <f aca="false">SUM(B6:D6)</f>
        <v>275053.328</v>
      </c>
      <c r="F6" s="25" t="n">
        <f aca="false">E6/1000</f>
        <v>275.053328</v>
      </c>
    </row>
    <row r="7" customFormat="false" ht="15" hidden="false" customHeight="true" outlineLevel="0" collapsed="false">
      <c r="A7" s="11" t="s">
        <v>32</v>
      </c>
      <c r="B7" s="24" t="n">
        <f aca="false">'❸ 樓層配置'!N19</f>
        <v>12504</v>
      </c>
      <c r="C7" s="24" t="n">
        <f aca="false">'❸ 樓層配置'!T39</f>
        <v>0</v>
      </c>
      <c r="D7" s="24" t="n">
        <f aca="false">'❺ 鋼樓梯'!T33</f>
        <v>1378.98</v>
      </c>
      <c r="E7" s="24" t="n">
        <f aca="false">SUM(B7:D7)</f>
        <v>13882.98</v>
      </c>
      <c r="F7" s="25" t="n">
        <f aca="false">E7/1000</f>
        <v>13.88298</v>
      </c>
    </row>
    <row r="8" customFormat="false" ht="15" hidden="false" customHeight="true" outlineLevel="0" collapsed="false">
      <c r="A8" s="11" t="s">
        <v>28</v>
      </c>
      <c r="B8" s="24" t="n">
        <f aca="false">'❸ 樓層配置'!O19</f>
        <v>0</v>
      </c>
      <c r="C8" s="24" t="n">
        <f aca="false">'❸ 樓層配置'!U39</f>
        <v>0</v>
      </c>
      <c r="D8" s="24" t="n">
        <f aca="false">'❺ 鋼樓梯'!U33</f>
        <v>0</v>
      </c>
      <c r="E8" s="24" t="n">
        <f aca="false">SUM(B8:D8)</f>
        <v>0</v>
      </c>
      <c r="F8" s="25" t="n">
        <f aca="false">E8/1000</f>
        <v>0</v>
      </c>
    </row>
    <row r="9" customFormat="false" ht="15" hidden="false" customHeight="true" outlineLevel="0" collapsed="false">
      <c r="A9" s="11" t="s">
        <v>30</v>
      </c>
      <c r="B9" s="24" t="n">
        <f aca="false">'❸ 樓層配置'!P19</f>
        <v>0</v>
      </c>
      <c r="C9" s="24" t="n">
        <f aca="false">'❸ 樓層配置'!V39</f>
        <v>0</v>
      </c>
      <c r="D9" s="24" t="n">
        <f aca="false">'❺ 鋼樓梯'!V33</f>
        <v>0</v>
      </c>
      <c r="E9" s="24" t="n">
        <f aca="false">SUM(B9:D9)</f>
        <v>0</v>
      </c>
      <c r="F9" s="25" t="n">
        <f aca="false">E9/1000</f>
        <v>0</v>
      </c>
    </row>
    <row r="10" customFormat="false" ht="15" hidden="false" customHeight="true" outlineLevel="0" collapsed="false">
      <c r="A10" s="38" t="s">
        <v>156</v>
      </c>
      <c r="B10" s="28" t="n">
        <f aca="false">SUM(B6:B9)</f>
        <v>287437.728</v>
      </c>
      <c r="C10" s="28" t="n">
        <f aca="false">SUM(C6:C9)</f>
        <v>0</v>
      </c>
      <c r="D10" s="28" t="n">
        <f aca="false">SUM(D6:D9)</f>
        <v>1498.58</v>
      </c>
      <c r="E10" s="28" t="n">
        <f aca="false">SUM(E6:E9)</f>
        <v>288936.308</v>
      </c>
      <c r="F10" s="29" t="n">
        <f aca="false">SUM(F6:F9)</f>
        <v>288.936308</v>
      </c>
    </row>
    <row r="12" customFormat="false" ht="15" hidden="false" customHeight="true" outlineLevel="0" collapsed="false">
      <c r="A12" s="7" t="s">
        <v>157</v>
      </c>
      <c r="B12" s="7"/>
      <c r="C12" s="7"/>
      <c r="D12" s="7"/>
      <c r="E12" s="7"/>
      <c r="F12" s="7"/>
    </row>
    <row r="13" customFormat="false" ht="15" hidden="false" customHeight="true" outlineLevel="0" collapsed="false">
      <c r="A13" s="12" t="s">
        <v>158</v>
      </c>
      <c r="B13" s="12" t="s">
        <v>159</v>
      </c>
      <c r="C13" s="12" t="s">
        <v>153</v>
      </c>
      <c r="D13" s="13" t="s">
        <v>160</v>
      </c>
      <c r="E13" s="12" t="s">
        <v>154</v>
      </c>
      <c r="F13" s="12" t="s">
        <v>155</v>
      </c>
    </row>
    <row r="14" customFormat="false" ht="15" hidden="false" customHeight="true" outlineLevel="0" collapsed="false">
      <c r="A14" s="4" t="s">
        <v>161</v>
      </c>
      <c r="B14" s="24" t="n">
        <f aca="false">'❸ 樓層配置'!Q19+'❸ 樓層配置'!W39</f>
        <v>0</v>
      </c>
      <c r="C14" s="24" t="n">
        <f aca="false">'❺ 鋼樓梯'!W33</f>
        <v>115.2</v>
      </c>
      <c r="D14" s="24"/>
      <c r="E14" s="24" t="n">
        <f aca="false">SUM(B14:D14)</f>
        <v>115.2</v>
      </c>
      <c r="F14" s="25" t="n">
        <f aca="false">E14/1000</f>
        <v>0.1152</v>
      </c>
    </row>
    <row r="15" customFormat="false" ht="15" hidden="false" customHeight="true" outlineLevel="0" collapsed="false">
      <c r="A15" s="4" t="s">
        <v>162</v>
      </c>
      <c r="B15" s="24" t="n">
        <f aca="false">'❸ 樓層配置'!R19+'❸ 樓層配置'!X39</f>
        <v>0</v>
      </c>
      <c r="C15" s="24" t="n">
        <f aca="false">'❺ 鋼樓梯'!X33</f>
        <v>221.85</v>
      </c>
      <c r="D15" s="24"/>
      <c r="E15" s="24" t="n">
        <f aca="false">SUM(B15:D15)</f>
        <v>221.85</v>
      </c>
      <c r="F15" s="25" t="n">
        <f aca="false">E15/1000</f>
        <v>0.22185</v>
      </c>
    </row>
    <row r="16" customFormat="false" ht="15" hidden="false" customHeight="true" outlineLevel="0" collapsed="false">
      <c r="A16" s="11" t="s">
        <v>163</v>
      </c>
      <c r="B16" s="24"/>
      <c r="C16" s="24"/>
      <c r="D16" s="24" t="n">
        <f aca="false">'❹ Deck樓板'!K15</f>
        <v>31680</v>
      </c>
      <c r="E16" s="24" t="n">
        <f aca="false">SUM(B16:D16)</f>
        <v>31680</v>
      </c>
      <c r="F16" s="25" t="n">
        <f aca="false">E16/1000</f>
        <v>31.68</v>
      </c>
    </row>
    <row r="17" customFormat="false" ht="15" hidden="false" customHeight="true" outlineLevel="0" collapsed="false">
      <c r="A17" s="38" t="s">
        <v>164</v>
      </c>
      <c r="B17" s="28" t="n">
        <f aca="false">SUM(B14:B16)</f>
        <v>0</v>
      </c>
      <c r="C17" s="28" t="n">
        <f aca="false">SUM(C14:C16)</f>
        <v>337.05</v>
      </c>
      <c r="D17" s="28" t="n">
        <f aca="false">SUM(D14:D16)</f>
        <v>31680</v>
      </c>
      <c r="E17" s="28" t="n">
        <f aca="false">SUM(E14:E16)</f>
        <v>32017.05</v>
      </c>
      <c r="F17" s="29" t="n">
        <f aca="false">SUM(F14:F16)</f>
        <v>32.01705</v>
      </c>
    </row>
    <row r="19" customFormat="false" ht="15" hidden="false" customHeight="true" outlineLevel="0" collapsed="false">
      <c r="A19" s="7" t="s">
        <v>165</v>
      </c>
      <c r="B19" s="7"/>
      <c r="C19" s="7"/>
      <c r="D19" s="7"/>
      <c r="E19" s="7"/>
      <c r="F19" s="7"/>
    </row>
    <row r="20" customFormat="false" ht="15" hidden="false" customHeight="true" outlineLevel="0" collapsed="false">
      <c r="A20" s="12" t="s">
        <v>158</v>
      </c>
      <c r="B20" s="12"/>
      <c r="C20" s="12"/>
      <c r="D20" s="12"/>
      <c r="E20" s="12" t="s">
        <v>47</v>
      </c>
      <c r="F20" s="12" t="s">
        <v>166</v>
      </c>
    </row>
    <row r="21" customFormat="false" ht="15" hidden="false" customHeight="true" outlineLevel="0" collapsed="false">
      <c r="A21" s="4" t="s">
        <v>167</v>
      </c>
      <c r="B21" s="39"/>
      <c r="C21" s="39"/>
      <c r="E21" s="24" t="n">
        <f aca="false">E10</f>
        <v>288936.308</v>
      </c>
      <c r="F21" s="25" t="n">
        <f aca="false">E21/1000</f>
        <v>288.936308</v>
      </c>
    </row>
    <row r="22" customFormat="false" ht="15" hidden="false" customHeight="true" outlineLevel="0" collapsed="false">
      <c r="A22" s="4" t="s">
        <v>168</v>
      </c>
      <c r="B22" s="39"/>
      <c r="C22" s="39"/>
      <c r="E22" s="24" t="n">
        <f aca="false">E17</f>
        <v>32017.05</v>
      </c>
      <c r="F22" s="25" t="n">
        <f aca="false">E22/1000</f>
        <v>32.01705</v>
      </c>
    </row>
    <row r="23" customFormat="false" ht="15" hidden="false" customHeight="true" outlineLevel="0" collapsed="false">
      <c r="A23" s="4" t="s">
        <v>169</v>
      </c>
      <c r="B23" s="39"/>
      <c r="C23" s="39"/>
      <c r="E23" s="24" t="n">
        <f aca="false">E21+E22</f>
        <v>320953.358</v>
      </c>
      <c r="F23" s="25" t="n">
        <f aca="false">E23/1000</f>
        <v>320.953358</v>
      </c>
    </row>
    <row r="24" customFormat="false" ht="15" hidden="false" customHeight="true" outlineLevel="0" collapsed="false">
      <c r="A24" s="4" t="s">
        <v>170</v>
      </c>
      <c r="B24" s="39"/>
      <c r="C24" s="39"/>
      <c r="D24" s="40" t="n">
        <f aca="false">'❶ 專案資訊'!B9</f>
        <v>0.1</v>
      </c>
      <c r="E24" s="24" t="n">
        <f aca="false">E23*'❶ 專案資訊'!B9</f>
        <v>32095.3358</v>
      </c>
      <c r="F24" s="25" t="n">
        <f aca="false">E24/1000</f>
        <v>32.0953358</v>
      </c>
    </row>
    <row r="25" customFormat="false" ht="16.5" hidden="false" customHeight="true" outlineLevel="0" collapsed="false">
      <c r="A25" s="41" t="s">
        <v>171</v>
      </c>
      <c r="B25" s="42"/>
      <c r="C25" s="42"/>
      <c r="D25" s="42"/>
      <c r="E25" s="43" t="n">
        <f aca="false">E23+E24</f>
        <v>353048.6938</v>
      </c>
      <c r="F25" s="44" t="n">
        <f aca="false">E25/1000</f>
        <v>353.0486938</v>
      </c>
    </row>
    <row r="27" customFormat="false" ht="18.75" hidden="false" customHeight="true" outlineLevel="0" collapsed="false">
      <c r="A27" s="7" t="s">
        <v>172</v>
      </c>
      <c r="B27" s="7"/>
      <c r="C27" s="7"/>
      <c r="D27" s="7"/>
      <c r="E27" s="7"/>
      <c r="F27" s="7"/>
    </row>
    <row r="28" customFormat="false" ht="15" hidden="false" customHeight="true" outlineLevel="0" collapsed="false">
      <c r="A28" s="12" t="s">
        <v>158</v>
      </c>
      <c r="B28" s="13" t="s">
        <v>173</v>
      </c>
      <c r="C28" s="12" t="s">
        <v>174</v>
      </c>
      <c r="D28" s="12"/>
      <c r="E28" s="12" t="s">
        <v>154</v>
      </c>
      <c r="F28" s="12" t="s">
        <v>155</v>
      </c>
    </row>
    <row r="29" customFormat="false" ht="15" hidden="false" customHeight="true" outlineLevel="0" collapsed="false">
      <c r="A29" s="11" t="s">
        <v>139</v>
      </c>
      <c r="B29" s="24" t="n">
        <f aca="false">'❹ Deck樓板'!M15</f>
        <v>2232</v>
      </c>
      <c r="C29" s="24" t="n">
        <f aca="false">SUMPRODUCT(('❺ 鋼樓梯'!N3:N32="WWM")*IF(ISNUMBER('❺ 鋼樓梯'!L3:L32),'❺ 鋼樓梯'!L3:L32,0))</f>
        <v>5.91</v>
      </c>
      <c r="D29" s="39"/>
      <c r="E29" s="24" t="n">
        <f aca="false">B29+C29</f>
        <v>2237.91</v>
      </c>
      <c r="F29" s="25" t="n">
        <f aca="false">E29/1000</f>
        <v>2.23791</v>
      </c>
    </row>
    <row r="31" customFormat="false" ht="15" hidden="false" customHeight="true" outlineLevel="0" collapsed="false">
      <c r="A31" s="7" t="s">
        <v>175</v>
      </c>
      <c r="B31" s="7"/>
      <c r="C31" s="7"/>
      <c r="D31" s="7"/>
      <c r="E31" s="7"/>
      <c r="F31" s="7"/>
    </row>
    <row r="32" customFormat="false" ht="15" hidden="false" customHeight="true" outlineLevel="0" collapsed="false">
      <c r="A32" s="12" t="s">
        <v>158</v>
      </c>
      <c r="B32" s="12"/>
      <c r="C32" s="12"/>
      <c r="D32" s="12"/>
      <c r="E32" s="12" t="s">
        <v>47</v>
      </c>
      <c r="F32" s="12" t="s">
        <v>166</v>
      </c>
    </row>
    <row r="33" customFormat="false" ht="15" hidden="false" customHeight="true" outlineLevel="0" collapsed="false">
      <c r="A33" s="4" t="s">
        <v>176</v>
      </c>
      <c r="B33" s="39"/>
      <c r="C33" s="39"/>
      <c r="D33" s="39"/>
      <c r="E33" s="24" t="n">
        <f aca="false">'❹ Deck樓板'!L15</f>
        <v>4727.86885245902</v>
      </c>
      <c r="F33" s="25" t="n">
        <f aca="false">E33/1000</f>
        <v>4.72786885245902</v>
      </c>
    </row>
    <row r="35" customFormat="false" ht="18.75" hidden="false" customHeight="true" outlineLevel="0" collapsed="false">
      <c r="A35" s="7" t="s">
        <v>177</v>
      </c>
      <c r="B35" s="7"/>
      <c r="C35" s="7"/>
      <c r="D35" s="7"/>
      <c r="E35" s="7"/>
      <c r="F35" s="7"/>
    </row>
    <row r="36" customFormat="false" ht="15" hidden="false" customHeight="true" outlineLevel="0" collapsed="false">
      <c r="A36" s="12" t="s">
        <v>158</v>
      </c>
      <c r="B36" s="12" t="s">
        <v>41</v>
      </c>
      <c r="C36" s="12" t="s">
        <v>178</v>
      </c>
    </row>
    <row r="37" customFormat="false" ht="15" hidden="false" customHeight="true" outlineLevel="0" collapsed="false">
      <c r="A37" s="11" t="s">
        <v>179</v>
      </c>
      <c r="B37" s="25" t="n">
        <f aca="false">'❹ Deck樓板'!N15</f>
        <v>171.6</v>
      </c>
      <c r="C37" s="39" t="s">
        <v>180</v>
      </c>
    </row>
    <row r="39" customFormat="false" ht="15" hidden="false" customHeight="true" outlineLevel="0" collapsed="false">
      <c r="A39" s="7" t="s">
        <v>181</v>
      </c>
      <c r="B39" s="7"/>
      <c r="C39" s="7"/>
      <c r="D39" s="7"/>
      <c r="E39" s="7"/>
      <c r="F39" s="7"/>
    </row>
    <row r="40" customFormat="false" ht="15" hidden="false" customHeight="true" outlineLevel="0" collapsed="false">
      <c r="A40" s="12" t="s">
        <v>182</v>
      </c>
      <c r="B40" s="12" t="s">
        <v>183</v>
      </c>
      <c r="C40" s="12" t="s">
        <v>184</v>
      </c>
      <c r="D40" s="12" t="s">
        <v>185</v>
      </c>
      <c r="E40" s="13" t="s">
        <v>186</v>
      </c>
      <c r="F40" s="12" t="s">
        <v>187</v>
      </c>
    </row>
    <row r="41" customFormat="false" ht="15" hidden="false" customHeight="true" outlineLevel="0" collapsed="false">
      <c r="A41" s="4" t="s">
        <v>52</v>
      </c>
      <c r="B41" s="25" t="n">
        <f aca="false">'❸ 樓層配置'!H19</f>
        <v>1999.164</v>
      </c>
      <c r="C41" s="25" t="n">
        <f aca="false">'❸ 樓層配置'!O39</f>
        <v>0</v>
      </c>
      <c r="D41" s="25" t="n">
        <f aca="false">'❺ 鋼樓梯'!O33</f>
        <v>0</v>
      </c>
      <c r="E41" s="25"/>
      <c r="F41" s="25" t="n">
        <f aca="false">SUM(B41:E41)</f>
        <v>1999.164</v>
      </c>
    </row>
    <row r="42" customFormat="false" ht="15" hidden="false" customHeight="true" outlineLevel="0" collapsed="false">
      <c r="A42" s="4" t="s">
        <v>74</v>
      </c>
      <c r="B42" s="25" t="n">
        <f aca="false">'❸ 樓層配置'!I19</f>
        <v>338.88</v>
      </c>
      <c r="C42" s="25" t="n">
        <f aca="false">'❸ 樓層配置'!P39</f>
        <v>0</v>
      </c>
      <c r="D42" s="25" t="n">
        <f aca="false">'❺ 鋼樓梯'!P33</f>
        <v>11.218</v>
      </c>
      <c r="E42" s="25" t="n">
        <f aca="false">'❹ Deck樓板'!Q15</f>
        <v>500</v>
      </c>
      <c r="F42" s="25" t="n">
        <f aca="false">SUM(B42:E42)</f>
        <v>850.098</v>
      </c>
    </row>
    <row r="43" customFormat="false" ht="15" hidden="false" customHeight="true" outlineLevel="0" collapsed="false">
      <c r="A43" s="4" t="s">
        <v>61</v>
      </c>
      <c r="B43" s="25" t="n">
        <f aca="false">'❸ 樓層配置'!J19</f>
        <v>1209.6</v>
      </c>
      <c r="C43" s="25" t="n">
        <f aca="false">'❸ 樓層配置'!Q39</f>
        <v>0</v>
      </c>
      <c r="D43" s="25" t="n">
        <f aca="false">'❺ 鋼樓梯'!Q33</f>
        <v>19.564</v>
      </c>
      <c r="E43" s="25" t="n">
        <f aca="false">'❹ Deck樓板'!R15</f>
        <v>1000</v>
      </c>
      <c r="F43" s="25" t="n">
        <f aca="false">SUM(B43:E43)</f>
        <v>2229.164</v>
      </c>
    </row>
    <row r="44" customFormat="false" ht="15" hidden="false" customHeight="true" outlineLevel="0" collapsed="false">
      <c r="A44" s="4" t="s">
        <v>188</v>
      </c>
      <c r="B44" s="25" t="n">
        <f aca="false">'❸ 樓層配置'!K19</f>
        <v>0</v>
      </c>
      <c r="C44" s="25" t="n">
        <f aca="false">'❸ 樓層配置'!R39</f>
        <v>0</v>
      </c>
      <c r="D44" s="25" t="n">
        <f aca="false">'❺ 鋼樓梯'!R33</f>
        <v>0</v>
      </c>
      <c r="E44" s="25"/>
      <c r="F44" s="25" t="n">
        <f aca="false">SUM(B44:E44)</f>
        <v>0</v>
      </c>
    </row>
    <row r="45" customFormat="false" ht="15" hidden="false" customHeight="true" outlineLevel="0" collapsed="false">
      <c r="A45" s="4" t="s">
        <v>189</v>
      </c>
      <c r="B45" s="39"/>
      <c r="C45" s="39"/>
      <c r="D45" s="39"/>
      <c r="E45" s="25" t="n">
        <f aca="false">'❹ Deck樓板'!O15</f>
        <v>1500</v>
      </c>
      <c r="F45" s="25" t="n">
        <f aca="false">E45</f>
        <v>1500</v>
      </c>
    </row>
    <row r="46" customFormat="false" ht="16.5" hidden="false" customHeight="true" outlineLevel="0" collapsed="false">
      <c r="A46" s="41" t="s">
        <v>190</v>
      </c>
      <c r="B46" s="44" t="n">
        <f aca="false">SUM(B41:B45)</f>
        <v>3547.644</v>
      </c>
      <c r="C46" s="44" t="n">
        <f aca="false">SUM(C41:C45)</f>
        <v>0</v>
      </c>
      <c r="D46" s="44" t="n">
        <f aca="false">SUM(D41:D45)</f>
        <v>30.782</v>
      </c>
      <c r="E46" s="44" t="n">
        <f aca="false">SUM(E41:E45)</f>
        <v>3000</v>
      </c>
      <c r="F46" s="44" t="n">
        <f aca="false">SUM(F41:F45)</f>
        <v>6578.426</v>
      </c>
    </row>
    <row r="48" customFormat="false" ht="15" hidden="false" customHeight="true" outlineLevel="0" collapsed="false">
      <c r="A48" s="7" t="s">
        <v>191</v>
      </c>
      <c r="B48" s="7"/>
      <c r="C48" s="7"/>
      <c r="D48" s="7"/>
      <c r="E48" s="7"/>
      <c r="F48" s="7"/>
    </row>
    <row r="49" customFormat="false" ht="15" hidden="false" customHeight="true" outlineLevel="0" collapsed="false">
      <c r="A49" s="12" t="s">
        <v>158</v>
      </c>
      <c r="B49" s="12" t="s">
        <v>41</v>
      </c>
      <c r="C49" s="12" t="s">
        <v>178</v>
      </c>
      <c r="D49" s="12" t="s">
        <v>192</v>
      </c>
      <c r="E49" s="12" t="s">
        <v>193</v>
      </c>
    </row>
    <row r="50" customFormat="false" ht="15" hidden="false" customHeight="true" outlineLevel="0" collapsed="false">
      <c r="A50" s="4" t="s">
        <v>194</v>
      </c>
      <c r="B50" s="25" t="n">
        <f aca="false">F25</f>
        <v>353.0486938</v>
      </c>
      <c r="C50" s="45" t="s">
        <v>195</v>
      </c>
      <c r="D50" s="24" t="n">
        <f aca="false">'❶ 專案資訊'!B10</f>
        <v>30000</v>
      </c>
      <c r="E50" s="24" t="n">
        <f aca="false">B50*D50</f>
        <v>10591460.814</v>
      </c>
    </row>
    <row r="51" customFormat="false" ht="15" hidden="false" customHeight="true" outlineLevel="0" collapsed="false">
      <c r="A51" s="4" t="s">
        <v>52</v>
      </c>
      <c r="B51" s="25" t="n">
        <f aca="false">F41</f>
        <v>1999.164</v>
      </c>
      <c r="C51" s="39" t="s">
        <v>196</v>
      </c>
      <c r="D51" s="24" t="n">
        <f aca="false">'❶ 專案資訊'!B11</f>
        <v>350</v>
      </c>
      <c r="E51" s="24" t="n">
        <f aca="false">B51*D51</f>
        <v>699707.4</v>
      </c>
    </row>
    <row r="52" customFormat="false" ht="15" hidden="false" customHeight="true" outlineLevel="0" collapsed="false">
      <c r="A52" s="4" t="s">
        <v>74</v>
      </c>
      <c r="B52" s="25" t="n">
        <f aca="false">F42</f>
        <v>850.098</v>
      </c>
      <c r="C52" s="39" t="s">
        <v>196</v>
      </c>
      <c r="D52" s="24" t="n">
        <f aca="false">'❶ 專案資訊'!B12</f>
        <v>600</v>
      </c>
      <c r="E52" s="24" t="n">
        <f aca="false">B52*D52</f>
        <v>510058.8</v>
      </c>
    </row>
    <row r="53" customFormat="false" ht="15" hidden="false" customHeight="true" outlineLevel="0" collapsed="false">
      <c r="A53" s="4" t="s">
        <v>61</v>
      </c>
      <c r="B53" s="25" t="n">
        <f aca="false">F43</f>
        <v>2229.164</v>
      </c>
      <c r="C53" s="39" t="s">
        <v>196</v>
      </c>
      <c r="D53" s="24" t="n">
        <f aca="false">'❶ 專案資訊'!B13</f>
        <v>1000</v>
      </c>
      <c r="E53" s="24" t="n">
        <f aca="false">B53*D53</f>
        <v>2229164</v>
      </c>
    </row>
    <row r="54" customFormat="false" ht="15" hidden="false" customHeight="true" outlineLevel="0" collapsed="false">
      <c r="A54" s="4" t="s">
        <v>188</v>
      </c>
      <c r="B54" s="25" t="n">
        <f aca="false">F44</f>
        <v>0</v>
      </c>
      <c r="C54" s="39" t="s">
        <v>196</v>
      </c>
      <c r="D54" s="24" t="n">
        <f aca="false">'❶ 專案資訊'!B14</f>
        <v>1200</v>
      </c>
      <c r="E54" s="24" t="n">
        <f aca="false">B54*D54</f>
        <v>0</v>
      </c>
    </row>
    <row r="55" customFormat="false" ht="15" hidden="false" customHeight="true" outlineLevel="0" collapsed="false">
      <c r="A55" s="11" t="s">
        <v>197</v>
      </c>
      <c r="B55" s="25" t="n">
        <f aca="false">B37</f>
        <v>171.6</v>
      </c>
      <c r="C55" s="39" t="s">
        <v>180</v>
      </c>
      <c r="D55" s="24" t="n">
        <f aca="false">'❶ 專案資訊'!B15</f>
        <v>3500</v>
      </c>
      <c r="E55" s="24" t="n">
        <f aca="false">B55*D55</f>
        <v>600600</v>
      </c>
    </row>
    <row r="56" customFormat="false" ht="15" hidden="false" customHeight="true" outlineLevel="0" collapsed="false">
      <c r="A56" s="4" t="s">
        <v>189</v>
      </c>
      <c r="B56" s="25" t="n">
        <f aca="false">F45</f>
        <v>1500</v>
      </c>
      <c r="C56" s="39" t="s">
        <v>196</v>
      </c>
      <c r="D56" s="24" t="n">
        <f aca="false">'❶ 專案資訊'!B16</f>
        <v>250</v>
      </c>
      <c r="E56" s="24" t="n">
        <f aca="false">B56*D56</f>
        <v>375000</v>
      </c>
    </row>
    <row r="57" customFormat="false" ht="15" hidden="false" customHeight="true" outlineLevel="0" collapsed="false">
      <c r="A57" s="11" t="s">
        <v>139</v>
      </c>
      <c r="B57" s="25" t="n">
        <f aca="false">F29</f>
        <v>2.23791</v>
      </c>
      <c r="C57" s="45" t="s">
        <v>195</v>
      </c>
      <c r="D57" s="24" t="n">
        <f aca="false">'❶ 專案資訊'!B17</f>
        <v>35000</v>
      </c>
      <c r="E57" s="24" t="n">
        <f aca="false">B57*D57</f>
        <v>78326.85</v>
      </c>
    </row>
    <row r="58" customFormat="false" ht="15" hidden="false" customHeight="true" outlineLevel="0" collapsed="false">
      <c r="A58" s="4" t="s">
        <v>176</v>
      </c>
      <c r="B58" s="25" t="n">
        <f aca="false">F33</f>
        <v>4.72786885245902</v>
      </c>
      <c r="C58" s="45" t="s">
        <v>195</v>
      </c>
      <c r="D58" s="24" t="n">
        <f aca="false">'❶ 專案資訊'!B18</f>
        <v>28000</v>
      </c>
      <c r="E58" s="24" t="n">
        <f aca="false">B58*D58</f>
        <v>132380.327868852</v>
      </c>
    </row>
    <row r="59" customFormat="false" ht="16.5" hidden="false" customHeight="true" outlineLevel="0" collapsed="false">
      <c r="A59" s="41" t="s">
        <v>198</v>
      </c>
      <c r="B59" s="42"/>
      <c r="C59" s="42"/>
      <c r="D59" s="42"/>
      <c r="E59" s="43" t="n">
        <f aca="false">SUM(E50:E58)</f>
        <v>15216698.1918689</v>
      </c>
    </row>
  </sheetData>
  <mergeCells count="10">
    <mergeCell ref="A1:F1"/>
    <mergeCell ref="A2:F2"/>
    <mergeCell ref="A4:F4"/>
    <mergeCell ref="A12:F12"/>
    <mergeCell ref="A19:F19"/>
    <mergeCell ref="A27:F27"/>
    <mergeCell ref="A31:F31"/>
    <mergeCell ref="A35:F35"/>
    <mergeCell ref="A39:F39"/>
    <mergeCell ref="A48:F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0"/>
  </cols>
  <sheetData>
    <row r="1" customFormat="false" ht="21" hidden="false" customHeight="true" outlineLevel="0" collapsed="false">
      <c r="A1" s="46" t="s">
        <v>199</v>
      </c>
    </row>
    <row r="2" customFormat="false" ht="15" hidden="false" customHeight="true" outlineLevel="0" collapsed="false">
      <c r="A2" s="47"/>
    </row>
    <row r="3" customFormat="false" ht="18.75" hidden="false" customHeight="true" outlineLevel="0" collapsed="false">
      <c r="A3" s="48" t="s">
        <v>200</v>
      </c>
    </row>
    <row r="4" customFormat="false" ht="15" hidden="false" customHeight="true" outlineLevel="0" collapsed="false">
      <c r="A4" s="49" t="s">
        <v>201</v>
      </c>
    </row>
    <row r="5" customFormat="false" ht="15" hidden="false" customHeight="true" outlineLevel="0" collapsed="false">
      <c r="A5" s="47"/>
    </row>
    <row r="6" customFormat="false" ht="18.75" hidden="false" customHeight="true" outlineLevel="0" collapsed="false">
      <c r="A6" s="50" t="s">
        <v>202</v>
      </c>
    </row>
    <row r="7" customFormat="false" ht="15" hidden="false" customHeight="true" outlineLevel="0" collapsed="false">
      <c r="A7" s="49" t="s">
        <v>203</v>
      </c>
    </row>
    <row r="8" customFormat="false" ht="15" hidden="false" customHeight="true" outlineLevel="0" collapsed="false">
      <c r="A8" s="49" t="s">
        <v>204</v>
      </c>
    </row>
    <row r="9" customFormat="false" ht="15" hidden="false" customHeight="true" outlineLevel="0" collapsed="false">
      <c r="A9" s="49" t="s">
        <v>205</v>
      </c>
    </row>
    <row r="10" customFormat="false" ht="15" hidden="false" customHeight="true" outlineLevel="0" collapsed="false">
      <c r="A10" s="47" t="s">
        <v>206</v>
      </c>
    </row>
    <row r="11" customFormat="false" ht="15" hidden="false" customHeight="true" outlineLevel="0" collapsed="false">
      <c r="A11" s="49" t="s">
        <v>207</v>
      </c>
    </row>
    <row r="12" customFormat="false" ht="15" hidden="false" customHeight="true" outlineLevel="0" collapsed="false">
      <c r="A12" s="47"/>
    </row>
    <row r="13" customFormat="false" ht="18.75" hidden="false" customHeight="true" outlineLevel="0" collapsed="false">
      <c r="A13" s="48" t="s">
        <v>208</v>
      </c>
    </row>
    <row r="14" customFormat="false" ht="15" hidden="false" customHeight="true" outlineLevel="0" collapsed="false">
      <c r="A14" s="49" t="s">
        <v>209</v>
      </c>
    </row>
    <row r="15" customFormat="false" ht="15" hidden="false" customHeight="true" outlineLevel="0" collapsed="false">
      <c r="A15" s="49" t="s">
        <v>210</v>
      </c>
    </row>
    <row r="16" customFormat="false" ht="15" hidden="false" customHeight="true" outlineLevel="0" collapsed="false">
      <c r="A16" s="49" t="s">
        <v>211</v>
      </c>
    </row>
    <row r="17" customFormat="false" ht="15" hidden="false" customHeight="true" outlineLevel="0" collapsed="false">
      <c r="A17" s="49" t="s">
        <v>212</v>
      </c>
    </row>
    <row r="18" customFormat="false" ht="15" hidden="false" customHeight="true" outlineLevel="0" collapsed="false">
      <c r="A18" s="47"/>
    </row>
    <row r="19" customFormat="false" ht="18.75" hidden="false" customHeight="true" outlineLevel="0" collapsed="false">
      <c r="A19" s="48" t="s">
        <v>213</v>
      </c>
    </row>
    <row r="20" customFormat="false" ht="15" hidden="false" customHeight="true" outlineLevel="0" collapsed="false">
      <c r="A20" s="49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DJ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3" min="1" style="1" width="22"/>
  </cols>
  <sheetData>
    <row r="1" customFormat="false" ht="15" hidden="false" customHeight="true" outlineLevel="0" collapsed="false">
      <c r="A1" s="1" t="s">
        <v>49</v>
      </c>
      <c r="B1" s="1" t="s">
        <v>215</v>
      </c>
      <c r="C1" s="1" t="s">
        <v>76</v>
      </c>
      <c r="D1" s="1" t="s">
        <v>79</v>
      </c>
      <c r="E1" s="1" t="s">
        <v>62</v>
      </c>
      <c r="F1" s="1" t="s">
        <v>58</v>
      </c>
      <c r="G1" s="1" t="s">
        <v>133</v>
      </c>
      <c r="H1" s="1" t="s">
        <v>145</v>
      </c>
      <c r="I1" s="1" t="s">
        <v>136</v>
      </c>
      <c r="J1" s="1" t="s">
        <v>139</v>
      </c>
      <c r="K1" s="1" t="s">
        <v>216</v>
      </c>
      <c r="L1" s="1" t="s">
        <v>217</v>
      </c>
      <c r="M1" s="1" t="s">
        <v>218</v>
      </c>
      <c r="N1" s="1" t="s">
        <v>219</v>
      </c>
      <c r="O1" s="1" t="s">
        <v>220</v>
      </c>
      <c r="P1" s="1" t="s">
        <v>221</v>
      </c>
      <c r="Q1" s="1" t="s">
        <v>222</v>
      </c>
      <c r="R1" s="1" t="s">
        <v>223</v>
      </c>
      <c r="S1" s="1" t="s">
        <v>224</v>
      </c>
      <c r="T1" s="1" t="s">
        <v>225</v>
      </c>
      <c r="U1" s="1" t="s">
        <v>226</v>
      </c>
      <c r="V1" s="1" t="s">
        <v>227</v>
      </c>
      <c r="W1" s="1" t="s">
        <v>228</v>
      </c>
      <c r="X1" s="1" t="s">
        <v>229</v>
      </c>
      <c r="Y1" s="1" t="s">
        <v>230</v>
      </c>
      <c r="Z1" s="1" t="s">
        <v>231</v>
      </c>
      <c r="AA1" s="1" t="s">
        <v>232</v>
      </c>
      <c r="AB1" s="1" t="s">
        <v>233</v>
      </c>
      <c r="AC1" s="1" t="s">
        <v>234</v>
      </c>
      <c r="AD1" s="1" t="s">
        <v>235</v>
      </c>
      <c r="AE1" s="1" t="s">
        <v>236</v>
      </c>
      <c r="AF1" s="1" t="s">
        <v>237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244</v>
      </c>
      <c r="AN1" s="1" t="s">
        <v>245</v>
      </c>
      <c r="AO1" s="1" t="s">
        <v>246</v>
      </c>
      <c r="AP1" s="1" t="s">
        <v>247</v>
      </c>
      <c r="AQ1" s="1" t="s">
        <v>248</v>
      </c>
      <c r="AR1" s="1" t="s">
        <v>249</v>
      </c>
      <c r="AS1" s="1" t="s">
        <v>250</v>
      </c>
      <c r="AT1" s="1" t="s">
        <v>251</v>
      </c>
      <c r="AU1" s="1" t="s">
        <v>252</v>
      </c>
      <c r="AV1" s="1" t="s">
        <v>253</v>
      </c>
      <c r="AW1" s="1" t="s">
        <v>254</v>
      </c>
      <c r="AX1" s="1" t="s">
        <v>255</v>
      </c>
      <c r="AY1" s="1" t="s">
        <v>256</v>
      </c>
      <c r="AZ1" s="1" t="s">
        <v>257</v>
      </c>
      <c r="BA1" s="1" t="s">
        <v>258</v>
      </c>
      <c r="BB1" s="1" t="s">
        <v>259</v>
      </c>
      <c r="BC1" s="1" t="s">
        <v>260</v>
      </c>
      <c r="BD1" s="1" t="s">
        <v>261</v>
      </c>
      <c r="BE1" s="1" t="s">
        <v>262</v>
      </c>
      <c r="BF1" s="1" t="s">
        <v>263</v>
      </c>
      <c r="BG1" s="1" t="s">
        <v>264</v>
      </c>
      <c r="BH1" s="1" t="s">
        <v>265</v>
      </c>
      <c r="BI1" s="1" t="s">
        <v>266</v>
      </c>
      <c r="BJ1" s="1" t="s">
        <v>267</v>
      </c>
      <c r="BK1" s="1" t="s">
        <v>268</v>
      </c>
      <c r="BL1" s="1" t="s">
        <v>269</v>
      </c>
      <c r="BM1" s="1" t="s">
        <v>270</v>
      </c>
      <c r="BN1" s="1" t="s">
        <v>271</v>
      </c>
      <c r="BO1" s="1" t="s">
        <v>272</v>
      </c>
      <c r="BP1" s="1" t="s">
        <v>273</v>
      </c>
      <c r="BQ1" s="1" t="s">
        <v>274</v>
      </c>
      <c r="BR1" s="1" t="s">
        <v>275</v>
      </c>
      <c r="BS1" s="1" t="s">
        <v>276</v>
      </c>
      <c r="BT1" s="1" t="s">
        <v>277</v>
      </c>
      <c r="BU1" s="1" t="s">
        <v>278</v>
      </c>
      <c r="BV1" s="1" t="s">
        <v>279</v>
      </c>
      <c r="BW1" s="1" t="s">
        <v>280</v>
      </c>
      <c r="BX1" s="1" t="s">
        <v>281</v>
      </c>
      <c r="BY1" s="1" t="s">
        <v>282</v>
      </c>
      <c r="BZ1" s="1" t="s">
        <v>283</v>
      </c>
      <c r="CA1" s="1" t="s">
        <v>284</v>
      </c>
      <c r="CB1" s="1" t="s">
        <v>285</v>
      </c>
      <c r="CC1" s="1" t="s">
        <v>286</v>
      </c>
      <c r="CD1" s="1" t="s">
        <v>287</v>
      </c>
      <c r="CE1" s="1" t="s">
        <v>288</v>
      </c>
      <c r="CF1" s="1" t="s">
        <v>289</v>
      </c>
      <c r="CG1" s="1" t="s">
        <v>290</v>
      </c>
      <c r="CH1" s="1" t="s">
        <v>291</v>
      </c>
      <c r="CI1" s="1" t="s">
        <v>292</v>
      </c>
      <c r="CJ1" s="1" t="s">
        <v>293</v>
      </c>
      <c r="CK1" s="1" t="s">
        <v>294</v>
      </c>
      <c r="CL1" s="1" t="s">
        <v>295</v>
      </c>
      <c r="CM1" s="1" t="s">
        <v>296</v>
      </c>
      <c r="CN1" s="1" t="s">
        <v>297</v>
      </c>
      <c r="CO1" s="1" t="s">
        <v>298</v>
      </c>
      <c r="CP1" s="1" t="s">
        <v>299</v>
      </c>
      <c r="CQ1" s="1" t="s">
        <v>300</v>
      </c>
      <c r="CR1" s="1" t="s">
        <v>301</v>
      </c>
      <c r="CS1" s="1" t="s">
        <v>302</v>
      </c>
      <c r="CT1" s="1" t="s">
        <v>303</v>
      </c>
      <c r="CU1" s="1" t="s">
        <v>304</v>
      </c>
      <c r="CV1" s="1" t="s">
        <v>305</v>
      </c>
      <c r="CW1" s="1" t="s">
        <v>306</v>
      </c>
      <c r="CX1" s="1" t="s">
        <v>307</v>
      </c>
      <c r="CY1" s="1" t="s">
        <v>308</v>
      </c>
      <c r="CZ1" s="1" t="s">
        <v>309</v>
      </c>
      <c r="DA1" s="1" t="s">
        <v>310</v>
      </c>
      <c r="DB1" s="1" t="s">
        <v>311</v>
      </c>
      <c r="DC1" s="1" t="s">
        <v>312</v>
      </c>
      <c r="DD1" s="1" t="s">
        <v>313</v>
      </c>
      <c r="DE1" s="1" t="s">
        <v>314</v>
      </c>
      <c r="DF1" s="1" t="s">
        <v>315</v>
      </c>
      <c r="DG1" s="1" t="s">
        <v>316</v>
      </c>
      <c r="DH1" s="1" t="s">
        <v>317</v>
      </c>
      <c r="DI1" s="1" t="s">
        <v>318</v>
      </c>
      <c r="DJ1" s="51" t="s">
        <v>319</v>
      </c>
    </row>
    <row r="2" customFormat="false" ht="16.5" hidden="false" customHeight="true" outlineLevel="0" collapsed="false">
      <c r="A2" s="1" t="s">
        <v>320</v>
      </c>
      <c r="B2" s="1" t="s">
        <v>321</v>
      </c>
      <c r="C2" s="1" t="s">
        <v>322</v>
      </c>
      <c r="D2" s="1" t="s">
        <v>323</v>
      </c>
      <c r="E2" s="1" t="s">
        <v>324</v>
      </c>
      <c r="F2" s="1" t="s">
        <v>325</v>
      </c>
      <c r="G2" s="1" t="s">
        <v>326</v>
      </c>
      <c r="H2" s="1" t="s">
        <v>327</v>
      </c>
      <c r="I2" s="1" t="s">
        <v>328</v>
      </c>
      <c r="J2" s="1" t="s">
        <v>329</v>
      </c>
      <c r="K2" s="1" t="s">
        <v>120</v>
      </c>
      <c r="L2" s="1" t="s">
        <v>123</v>
      </c>
      <c r="M2" s="1" t="s">
        <v>320</v>
      </c>
      <c r="N2" s="1" t="s">
        <v>330</v>
      </c>
      <c r="O2" s="1" t="s">
        <v>331</v>
      </c>
      <c r="P2" s="1" t="s">
        <v>332</v>
      </c>
      <c r="Q2" s="1" t="s">
        <v>57</v>
      </c>
      <c r="R2" s="1" t="s">
        <v>333</v>
      </c>
      <c r="S2" s="1" t="s">
        <v>55</v>
      </c>
      <c r="T2" s="1" t="s">
        <v>334</v>
      </c>
      <c r="U2" s="1" t="s">
        <v>335</v>
      </c>
      <c r="V2" s="1" t="s">
        <v>51</v>
      </c>
      <c r="W2" s="1" t="s">
        <v>336</v>
      </c>
      <c r="X2" s="1" t="s">
        <v>337</v>
      </c>
      <c r="Y2" s="1" t="s">
        <v>70</v>
      </c>
      <c r="Z2" s="1" t="s">
        <v>338</v>
      </c>
      <c r="AA2" s="1" t="s">
        <v>339</v>
      </c>
      <c r="AB2" s="1" t="s">
        <v>340</v>
      </c>
      <c r="AC2" s="1" t="s">
        <v>341</v>
      </c>
      <c r="AD2" s="1" t="s">
        <v>342</v>
      </c>
      <c r="AE2" s="1" t="s">
        <v>343</v>
      </c>
      <c r="AF2" s="1" t="s">
        <v>344</v>
      </c>
      <c r="AG2" s="1" t="s">
        <v>345</v>
      </c>
      <c r="AH2" s="1" t="s">
        <v>346</v>
      </c>
      <c r="AI2" s="1" t="s">
        <v>68</v>
      </c>
      <c r="AJ2" s="1" t="s">
        <v>347</v>
      </c>
      <c r="AK2" s="1" t="s">
        <v>348</v>
      </c>
      <c r="AL2" s="1" t="s">
        <v>349</v>
      </c>
      <c r="AM2" s="1" t="s">
        <v>350</v>
      </c>
      <c r="AN2" s="1" t="s">
        <v>351</v>
      </c>
      <c r="AO2" s="1" t="s">
        <v>352</v>
      </c>
      <c r="AP2" s="1" t="s">
        <v>353</v>
      </c>
      <c r="AQ2" s="1" t="s">
        <v>321</v>
      </c>
      <c r="AR2" s="1" t="s">
        <v>354</v>
      </c>
      <c r="AS2" s="1" t="s">
        <v>355</v>
      </c>
      <c r="AT2" s="1" t="s">
        <v>356</v>
      </c>
      <c r="AU2" s="1" t="s">
        <v>357</v>
      </c>
      <c r="AV2" s="1" t="s">
        <v>358</v>
      </c>
      <c r="AW2" s="1" t="s">
        <v>359</v>
      </c>
      <c r="AX2" s="1" t="s">
        <v>360</v>
      </c>
      <c r="AY2" s="1" t="s">
        <v>322</v>
      </c>
      <c r="AZ2" s="1" t="s">
        <v>361</v>
      </c>
      <c r="BA2" s="1" t="s">
        <v>362</v>
      </c>
      <c r="BB2" s="1" t="s">
        <v>78</v>
      </c>
      <c r="BC2" s="1" t="s">
        <v>363</v>
      </c>
      <c r="BD2" s="1" t="s">
        <v>143</v>
      </c>
      <c r="BE2" s="1" t="s">
        <v>364</v>
      </c>
      <c r="BF2" s="1" t="s">
        <v>365</v>
      </c>
      <c r="BG2" s="1" t="s">
        <v>366</v>
      </c>
      <c r="BH2" s="1" t="s">
        <v>367</v>
      </c>
      <c r="BI2" s="1" t="s">
        <v>323</v>
      </c>
      <c r="BJ2" s="1" t="s">
        <v>368</v>
      </c>
      <c r="BK2" s="1" t="s">
        <v>369</v>
      </c>
      <c r="BL2" s="1" t="s">
        <v>370</v>
      </c>
      <c r="BM2" s="1" t="s">
        <v>81</v>
      </c>
      <c r="BN2" s="1" t="s">
        <v>371</v>
      </c>
      <c r="BO2" s="1" t="s">
        <v>372</v>
      </c>
      <c r="BP2" s="1" t="s">
        <v>373</v>
      </c>
      <c r="BQ2" s="1" t="s">
        <v>374</v>
      </c>
      <c r="BR2" s="1" t="s">
        <v>375</v>
      </c>
      <c r="BS2" s="1" t="s">
        <v>376</v>
      </c>
      <c r="BT2" s="1" t="s">
        <v>377</v>
      </c>
      <c r="BU2" s="1" t="s">
        <v>378</v>
      </c>
      <c r="BV2" s="1" t="s">
        <v>379</v>
      </c>
      <c r="BW2" s="1" t="s">
        <v>380</v>
      </c>
      <c r="BX2" s="1" t="s">
        <v>381</v>
      </c>
      <c r="BY2" s="1" t="s">
        <v>382</v>
      </c>
      <c r="BZ2" s="1" t="s">
        <v>324</v>
      </c>
      <c r="CA2" s="1" t="s">
        <v>383</v>
      </c>
      <c r="CB2" s="1" t="s">
        <v>384</v>
      </c>
      <c r="CC2" s="1" t="s">
        <v>385</v>
      </c>
      <c r="CD2" s="1" t="s">
        <v>386</v>
      </c>
      <c r="CE2" s="1" t="s">
        <v>387</v>
      </c>
      <c r="CF2" s="1" t="s">
        <v>388</v>
      </c>
      <c r="CG2" s="1" t="s">
        <v>389</v>
      </c>
      <c r="CH2" s="1" t="s">
        <v>390</v>
      </c>
      <c r="CI2" s="1" t="s">
        <v>325</v>
      </c>
      <c r="CJ2" s="1" t="s">
        <v>391</v>
      </c>
      <c r="CK2" s="1" t="s">
        <v>392</v>
      </c>
      <c r="CL2" s="1" t="s">
        <v>393</v>
      </c>
      <c r="CM2" s="1" t="s">
        <v>394</v>
      </c>
      <c r="CN2" s="1" t="s">
        <v>395</v>
      </c>
      <c r="CO2" s="1" t="s">
        <v>396</v>
      </c>
      <c r="CP2" s="1" t="s">
        <v>397</v>
      </c>
      <c r="CQ2" s="1" t="s">
        <v>398</v>
      </c>
      <c r="CR2" s="1" t="s">
        <v>399</v>
      </c>
      <c r="CS2" s="1" t="s">
        <v>326</v>
      </c>
      <c r="CT2" s="1" t="s">
        <v>400</v>
      </c>
      <c r="CU2" s="1" t="s">
        <v>401</v>
      </c>
      <c r="CV2" s="1" t="s">
        <v>402</v>
      </c>
      <c r="CW2" s="1" t="s">
        <v>403</v>
      </c>
      <c r="CX2" s="1" t="s">
        <v>329</v>
      </c>
      <c r="CY2" s="1" t="s">
        <v>124</v>
      </c>
      <c r="CZ2" s="1" t="s">
        <v>140</v>
      </c>
      <c r="DA2" s="1" t="s">
        <v>122</v>
      </c>
      <c r="DB2" s="1" t="s">
        <v>404</v>
      </c>
      <c r="DC2" s="1" t="s">
        <v>405</v>
      </c>
      <c r="DD2" s="1" t="s">
        <v>406</v>
      </c>
      <c r="DE2" s="1" t="s">
        <v>407</v>
      </c>
      <c r="DF2" s="1" t="s">
        <v>408</v>
      </c>
      <c r="DG2" s="1" t="s">
        <v>409</v>
      </c>
      <c r="DH2" s="1" t="s">
        <v>410</v>
      </c>
      <c r="DI2" s="1" t="s">
        <v>120</v>
      </c>
      <c r="DJ2" s="1" t="s">
        <v>49</v>
      </c>
    </row>
    <row r="3" customFormat="false" ht="16.5" hidden="false" customHeight="true" outlineLevel="0" collapsed="false">
      <c r="A3" s="1" t="s">
        <v>330</v>
      </c>
      <c r="B3" s="1" t="s">
        <v>354</v>
      </c>
      <c r="C3" s="1" t="s">
        <v>361</v>
      </c>
      <c r="D3" s="1" t="s">
        <v>368</v>
      </c>
      <c r="E3" s="1" t="s">
        <v>411</v>
      </c>
      <c r="F3" s="1" t="s">
        <v>412</v>
      </c>
      <c r="G3" s="1" t="s">
        <v>400</v>
      </c>
      <c r="H3" s="1" t="s">
        <v>413</v>
      </c>
      <c r="I3" s="1" t="s">
        <v>414</v>
      </c>
      <c r="J3" s="1" t="s">
        <v>124</v>
      </c>
      <c r="L3" s="1" t="s">
        <v>121</v>
      </c>
      <c r="O3" s="1" t="s">
        <v>415</v>
      </c>
      <c r="R3" s="1" t="s">
        <v>416</v>
      </c>
      <c r="S3" s="1" t="s">
        <v>417</v>
      </c>
      <c r="U3" s="1" t="s">
        <v>418</v>
      </c>
      <c r="V3" s="1" t="s">
        <v>419</v>
      </c>
      <c r="X3" s="1" t="s">
        <v>420</v>
      </c>
      <c r="Y3" s="1" t="s">
        <v>421</v>
      </c>
      <c r="AA3" s="1" t="s">
        <v>422</v>
      </c>
      <c r="AE3" s="1" t="s">
        <v>423</v>
      </c>
      <c r="AK3" s="1" t="s">
        <v>424</v>
      </c>
      <c r="AM3" s="1" t="s">
        <v>425</v>
      </c>
      <c r="BZ3" s="1" t="s">
        <v>411</v>
      </c>
      <c r="CA3" s="1" t="s">
        <v>426</v>
      </c>
      <c r="CB3" s="1" t="s">
        <v>427</v>
      </c>
      <c r="CC3" s="1" t="s">
        <v>428</v>
      </c>
      <c r="CD3" s="1" t="s">
        <v>64</v>
      </c>
      <c r="CG3" s="1" t="s">
        <v>429</v>
      </c>
      <c r="CH3" s="1" t="s">
        <v>430</v>
      </c>
      <c r="CI3" s="1" t="s">
        <v>412</v>
      </c>
      <c r="CJ3" s="1" t="s">
        <v>431</v>
      </c>
      <c r="CK3" s="1" t="s">
        <v>432</v>
      </c>
      <c r="CL3" s="1" t="s">
        <v>433</v>
      </c>
      <c r="CM3" s="1" t="s">
        <v>434</v>
      </c>
      <c r="CN3" s="1" t="s">
        <v>435</v>
      </c>
      <c r="CO3" s="1" t="s">
        <v>436</v>
      </c>
      <c r="CP3" s="1" t="s">
        <v>437</v>
      </c>
      <c r="CQ3" s="1" t="s">
        <v>71</v>
      </c>
      <c r="CR3" s="1" t="s">
        <v>438</v>
      </c>
      <c r="DJ3" s="1" t="s">
        <v>215</v>
      </c>
    </row>
    <row r="4" customFormat="false" ht="16.5" hidden="false" customHeight="true" outlineLevel="0" collapsed="false">
      <c r="A4" s="1" t="s">
        <v>331</v>
      </c>
      <c r="B4" s="1" t="s">
        <v>355</v>
      </c>
      <c r="C4" s="1" t="s">
        <v>362</v>
      </c>
      <c r="D4" s="1" t="s">
        <v>369</v>
      </c>
      <c r="E4" s="1" t="s">
        <v>383</v>
      </c>
      <c r="F4" s="1" t="s">
        <v>439</v>
      </c>
      <c r="G4" s="1" t="s">
        <v>401</v>
      </c>
      <c r="H4" s="1" t="s">
        <v>146</v>
      </c>
      <c r="I4" s="1" t="s">
        <v>137</v>
      </c>
      <c r="J4" s="1" t="s">
        <v>140</v>
      </c>
      <c r="L4" s="1" t="s">
        <v>440</v>
      </c>
      <c r="CD4" s="1" t="s">
        <v>441</v>
      </c>
      <c r="CI4" s="1" t="s">
        <v>439</v>
      </c>
      <c r="CK4" s="1" t="s">
        <v>442</v>
      </c>
      <c r="CL4" s="1" t="s">
        <v>443</v>
      </c>
      <c r="CM4" s="1" t="s">
        <v>444</v>
      </c>
      <c r="CN4" s="1" t="s">
        <v>445</v>
      </c>
      <c r="CP4" s="1" t="s">
        <v>60</v>
      </c>
      <c r="CQ4" s="1" t="s">
        <v>446</v>
      </c>
      <c r="DJ4" s="1" t="s">
        <v>76</v>
      </c>
    </row>
    <row r="5" customFormat="false" ht="16.5" hidden="false" customHeight="true" outlineLevel="0" collapsed="false">
      <c r="A5" s="1" t="s">
        <v>415</v>
      </c>
      <c r="B5" s="1" t="s">
        <v>356</v>
      </c>
      <c r="C5" s="1" t="s">
        <v>78</v>
      </c>
      <c r="D5" s="1" t="s">
        <v>370</v>
      </c>
      <c r="E5" s="1" t="s">
        <v>426</v>
      </c>
      <c r="F5" s="1" t="s">
        <v>391</v>
      </c>
      <c r="G5" s="1" t="s">
        <v>402</v>
      </c>
      <c r="H5" s="1" t="s">
        <v>447</v>
      </c>
      <c r="I5" s="1" t="s">
        <v>448</v>
      </c>
      <c r="J5" s="1" t="s">
        <v>122</v>
      </c>
      <c r="CL5" s="1" t="s">
        <v>449</v>
      </c>
      <c r="CP5" s="1" t="s">
        <v>450</v>
      </c>
      <c r="DJ5" s="1" t="s">
        <v>79</v>
      </c>
    </row>
    <row r="6" customFormat="false" ht="16.5" hidden="false" customHeight="true" outlineLevel="0" collapsed="false">
      <c r="A6" s="1" t="s">
        <v>332</v>
      </c>
      <c r="B6" s="1" t="s">
        <v>357</v>
      </c>
      <c r="C6" s="1" t="s">
        <v>363</v>
      </c>
      <c r="D6" s="1" t="s">
        <v>81</v>
      </c>
      <c r="E6" s="1" t="s">
        <v>384</v>
      </c>
      <c r="F6" s="1" t="s">
        <v>431</v>
      </c>
      <c r="G6" s="1" t="s">
        <v>403</v>
      </c>
      <c r="H6" s="1" t="s">
        <v>451</v>
      </c>
      <c r="I6" s="1" t="s">
        <v>452</v>
      </c>
      <c r="J6" s="1" t="s">
        <v>404</v>
      </c>
      <c r="DJ6" s="1" t="s">
        <v>62</v>
      </c>
    </row>
    <row r="7" customFormat="false" ht="15" hidden="false" customHeight="true" outlineLevel="0" collapsed="false">
      <c r="A7" s="1" t="s">
        <v>57</v>
      </c>
      <c r="B7" s="1" t="s">
        <v>358</v>
      </c>
      <c r="C7" s="1" t="s">
        <v>143</v>
      </c>
      <c r="D7" s="1" t="s">
        <v>371</v>
      </c>
      <c r="E7" s="1" t="s">
        <v>427</v>
      </c>
      <c r="F7" s="1" t="s">
        <v>392</v>
      </c>
      <c r="H7" s="1" t="s">
        <v>453</v>
      </c>
      <c r="I7" s="1" t="s">
        <v>454</v>
      </c>
      <c r="J7" s="1" t="s">
        <v>405</v>
      </c>
      <c r="DJ7" s="1" t="s">
        <v>58</v>
      </c>
    </row>
    <row r="8" customFormat="false" ht="15" hidden="false" customHeight="true" outlineLevel="0" collapsed="false">
      <c r="A8" s="1" t="s">
        <v>333</v>
      </c>
      <c r="B8" s="1" t="s">
        <v>359</v>
      </c>
      <c r="C8" s="1" t="s">
        <v>364</v>
      </c>
      <c r="D8" s="1" t="s">
        <v>372</v>
      </c>
      <c r="E8" s="1" t="s">
        <v>385</v>
      </c>
      <c r="F8" s="1" t="s">
        <v>432</v>
      </c>
      <c r="H8" s="1" t="s">
        <v>455</v>
      </c>
      <c r="I8" s="1" t="s">
        <v>456</v>
      </c>
      <c r="J8" s="1" t="s">
        <v>406</v>
      </c>
      <c r="DJ8" s="1" t="s">
        <v>133</v>
      </c>
    </row>
    <row r="9" customFormat="false" ht="15" hidden="false" customHeight="true" outlineLevel="0" collapsed="false">
      <c r="A9" s="1" t="s">
        <v>416</v>
      </c>
      <c r="B9" s="1" t="s">
        <v>360</v>
      </c>
      <c r="C9" s="1" t="s">
        <v>365</v>
      </c>
      <c r="D9" s="1" t="s">
        <v>373</v>
      </c>
      <c r="E9" s="1" t="s">
        <v>428</v>
      </c>
      <c r="F9" s="1" t="s">
        <v>442</v>
      </c>
      <c r="I9" s="1" t="s">
        <v>457</v>
      </c>
      <c r="J9" s="1" t="s">
        <v>407</v>
      </c>
      <c r="DJ9" s="1" t="s">
        <v>145</v>
      </c>
    </row>
    <row r="10" customFormat="false" ht="15" hidden="false" customHeight="true" outlineLevel="0" collapsed="false">
      <c r="A10" s="1" t="s">
        <v>55</v>
      </c>
      <c r="C10" s="1" t="s">
        <v>366</v>
      </c>
      <c r="D10" s="1" t="s">
        <v>374</v>
      </c>
      <c r="E10" s="1" t="s">
        <v>386</v>
      </c>
      <c r="F10" s="1" t="s">
        <v>393</v>
      </c>
      <c r="I10" s="1" t="s">
        <v>458</v>
      </c>
      <c r="J10" s="1" t="s">
        <v>408</v>
      </c>
      <c r="DJ10" s="1" t="s">
        <v>136</v>
      </c>
    </row>
    <row r="11" customFormat="false" ht="15" hidden="false" customHeight="true" outlineLevel="0" collapsed="false">
      <c r="A11" s="1" t="s">
        <v>417</v>
      </c>
      <c r="C11" s="1" t="s">
        <v>367</v>
      </c>
      <c r="D11" s="1" t="s">
        <v>375</v>
      </c>
      <c r="E11" s="1" t="s">
        <v>64</v>
      </c>
      <c r="F11" s="1" t="s">
        <v>433</v>
      </c>
      <c r="I11" s="1" t="s">
        <v>459</v>
      </c>
      <c r="J11" s="1" t="s">
        <v>409</v>
      </c>
      <c r="DJ11" s="1" t="s">
        <v>139</v>
      </c>
    </row>
    <row r="12" customFormat="false" ht="15" hidden="false" customHeight="true" outlineLevel="0" collapsed="false">
      <c r="A12" s="1" t="s">
        <v>334</v>
      </c>
      <c r="D12" s="1" t="s">
        <v>376</v>
      </c>
      <c r="E12" s="1" t="s">
        <v>441</v>
      </c>
      <c r="F12" s="1" t="s">
        <v>443</v>
      </c>
      <c r="I12" s="1" t="s">
        <v>460</v>
      </c>
      <c r="J12" s="1" t="s">
        <v>410</v>
      </c>
      <c r="DJ12" s="1" t="s">
        <v>216</v>
      </c>
    </row>
    <row r="13" customFormat="false" ht="15" hidden="false" customHeight="true" outlineLevel="0" collapsed="false">
      <c r="A13" s="1" t="s">
        <v>335</v>
      </c>
      <c r="D13" s="1" t="s">
        <v>377</v>
      </c>
      <c r="E13" s="1" t="s">
        <v>387</v>
      </c>
      <c r="F13" s="1" t="s">
        <v>449</v>
      </c>
      <c r="I13" s="1" t="s">
        <v>461</v>
      </c>
      <c r="DJ13" s="1" t="s">
        <v>217</v>
      </c>
    </row>
    <row r="14" customFormat="false" ht="15" hidden="false" customHeight="true" outlineLevel="0" collapsed="false">
      <c r="A14" s="1" t="s">
        <v>418</v>
      </c>
      <c r="D14" s="1" t="s">
        <v>378</v>
      </c>
      <c r="E14" s="1" t="s">
        <v>388</v>
      </c>
      <c r="F14" s="1" t="s">
        <v>394</v>
      </c>
      <c r="DJ14" s="1" t="s">
        <v>218</v>
      </c>
    </row>
    <row r="15" customFormat="false" ht="15" hidden="false" customHeight="true" outlineLevel="0" collapsed="false">
      <c r="A15" s="1" t="s">
        <v>51</v>
      </c>
      <c r="D15" s="1" t="s">
        <v>379</v>
      </c>
      <c r="E15" s="1" t="s">
        <v>389</v>
      </c>
      <c r="F15" s="1" t="s">
        <v>434</v>
      </c>
      <c r="DJ15" s="1" t="s">
        <v>219</v>
      </c>
    </row>
    <row r="16" customFormat="false" ht="15" hidden="false" customHeight="true" outlineLevel="0" collapsed="false">
      <c r="A16" s="1" t="s">
        <v>419</v>
      </c>
      <c r="D16" s="1" t="s">
        <v>380</v>
      </c>
      <c r="E16" s="1" t="s">
        <v>429</v>
      </c>
      <c r="F16" s="1" t="s">
        <v>444</v>
      </c>
      <c r="DJ16" s="1" t="s">
        <v>220</v>
      </c>
    </row>
    <row r="17" customFormat="false" ht="15" hidden="false" customHeight="true" outlineLevel="0" collapsed="false">
      <c r="A17" s="1" t="s">
        <v>336</v>
      </c>
      <c r="D17" s="1" t="s">
        <v>381</v>
      </c>
      <c r="E17" s="1" t="s">
        <v>390</v>
      </c>
      <c r="F17" s="1" t="s">
        <v>395</v>
      </c>
      <c r="DJ17" s="1" t="s">
        <v>221</v>
      </c>
    </row>
    <row r="18" customFormat="false" ht="15" hidden="false" customHeight="true" outlineLevel="0" collapsed="false">
      <c r="A18" s="1" t="s">
        <v>337</v>
      </c>
      <c r="D18" s="1" t="s">
        <v>382</v>
      </c>
      <c r="E18" s="1" t="s">
        <v>430</v>
      </c>
      <c r="F18" s="1" t="s">
        <v>435</v>
      </c>
      <c r="DJ18" s="1" t="s">
        <v>222</v>
      </c>
    </row>
    <row r="19" customFormat="false" ht="15" hidden="false" customHeight="true" outlineLevel="0" collapsed="false">
      <c r="A19" s="1" t="s">
        <v>420</v>
      </c>
      <c r="F19" s="1" t="s">
        <v>445</v>
      </c>
      <c r="DJ19" s="1" t="s">
        <v>223</v>
      </c>
    </row>
    <row r="20" customFormat="false" ht="15" hidden="false" customHeight="true" outlineLevel="0" collapsed="false">
      <c r="A20" s="1" t="s">
        <v>70</v>
      </c>
      <c r="F20" s="1" t="s">
        <v>396</v>
      </c>
      <c r="DJ20" s="1" t="s">
        <v>224</v>
      </c>
    </row>
    <row r="21" customFormat="false" ht="15" hidden="false" customHeight="true" outlineLevel="0" collapsed="false">
      <c r="A21" s="1" t="s">
        <v>421</v>
      </c>
      <c r="F21" s="1" t="s">
        <v>436</v>
      </c>
      <c r="DJ21" s="1" t="s">
        <v>225</v>
      </c>
    </row>
    <row r="22" customFormat="false" ht="15" hidden="false" customHeight="true" outlineLevel="0" collapsed="false">
      <c r="A22" s="1" t="s">
        <v>338</v>
      </c>
      <c r="F22" s="1" t="s">
        <v>397</v>
      </c>
      <c r="DJ22" s="1" t="s">
        <v>226</v>
      </c>
    </row>
    <row r="23" customFormat="false" ht="15" hidden="false" customHeight="true" outlineLevel="0" collapsed="false">
      <c r="A23" s="1" t="s">
        <v>339</v>
      </c>
      <c r="F23" s="1" t="s">
        <v>437</v>
      </c>
      <c r="DJ23" s="1" t="s">
        <v>227</v>
      </c>
    </row>
    <row r="24" customFormat="false" ht="15" hidden="false" customHeight="true" outlineLevel="0" collapsed="false">
      <c r="A24" s="1" t="s">
        <v>422</v>
      </c>
      <c r="F24" s="1" t="s">
        <v>60</v>
      </c>
      <c r="DJ24" s="1" t="s">
        <v>228</v>
      </c>
    </row>
    <row r="25" customFormat="false" ht="15" hidden="false" customHeight="true" outlineLevel="0" collapsed="false">
      <c r="A25" s="1" t="s">
        <v>340</v>
      </c>
      <c r="F25" s="1" t="s">
        <v>450</v>
      </c>
      <c r="DJ25" s="1" t="s">
        <v>229</v>
      </c>
    </row>
    <row r="26" customFormat="false" ht="15" hidden="false" customHeight="true" outlineLevel="0" collapsed="false">
      <c r="A26" s="1" t="s">
        <v>341</v>
      </c>
      <c r="F26" s="1" t="s">
        <v>398</v>
      </c>
      <c r="DJ26" s="1" t="s">
        <v>230</v>
      </c>
    </row>
    <row r="27" customFormat="false" ht="15" hidden="false" customHeight="true" outlineLevel="0" collapsed="false">
      <c r="A27" s="1" t="s">
        <v>342</v>
      </c>
      <c r="F27" s="1" t="s">
        <v>71</v>
      </c>
      <c r="DJ27" s="1" t="s">
        <v>231</v>
      </c>
    </row>
    <row r="28" customFormat="false" ht="15" hidden="false" customHeight="true" outlineLevel="0" collapsed="false">
      <c r="A28" s="1" t="s">
        <v>343</v>
      </c>
      <c r="F28" s="1" t="s">
        <v>446</v>
      </c>
      <c r="DJ28" s="1" t="s">
        <v>232</v>
      </c>
    </row>
    <row r="29" customFormat="false" ht="15" hidden="false" customHeight="true" outlineLevel="0" collapsed="false">
      <c r="A29" s="1" t="s">
        <v>423</v>
      </c>
      <c r="F29" s="1" t="s">
        <v>399</v>
      </c>
      <c r="DJ29" s="1" t="s">
        <v>233</v>
      </c>
    </row>
    <row r="30" customFormat="false" ht="15" hidden="false" customHeight="true" outlineLevel="0" collapsed="false">
      <c r="A30" s="1" t="s">
        <v>344</v>
      </c>
      <c r="F30" s="1" t="s">
        <v>438</v>
      </c>
      <c r="DJ30" s="1" t="s">
        <v>234</v>
      </c>
    </row>
    <row r="31" customFormat="false" ht="15" hidden="false" customHeight="true" outlineLevel="0" collapsed="false">
      <c r="A31" s="1" t="s">
        <v>345</v>
      </c>
      <c r="DJ31" s="1" t="s">
        <v>235</v>
      </c>
    </row>
    <row r="32" customFormat="false" ht="15" hidden="false" customHeight="true" outlineLevel="0" collapsed="false">
      <c r="A32" s="1" t="s">
        <v>346</v>
      </c>
      <c r="DJ32" s="1" t="s">
        <v>236</v>
      </c>
    </row>
    <row r="33" customFormat="false" ht="15" hidden="false" customHeight="true" outlineLevel="0" collapsed="false">
      <c r="A33" s="1" t="s">
        <v>68</v>
      </c>
      <c r="DJ33" s="1" t="s">
        <v>237</v>
      </c>
    </row>
    <row r="34" customFormat="false" ht="15" hidden="false" customHeight="true" outlineLevel="0" collapsed="false">
      <c r="A34" s="1" t="s">
        <v>347</v>
      </c>
      <c r="DJ34" s="1" t="s">
        <v>238</v>
      </c>
    </row>
    <row r="35" customFormat="false" ht="15" hidden="false" customHeight="true" outlineLevel="0" collapsed="false">
      <c r="A35" s="1" t="s">
        <v>348</v>
      </c>
      <c r="DJ35" s="1" t="s">
        <v>239</v>
      </c>
    </row>
    <row r="36" customFormat="false" ht="15" hidden="false" customHeight="true" outlineLevel="0" collapsed="false">
      <c r="A36" s="1" t="s">
        <v>424</v>
      </c>
      <c r="DJ36" s="1" t="s">
        <v>240</v>
      </c>
    </row>
    <row r="37" customFormat="false" ht="15" hidden="false" customHeight="true" outlineLevel="0" collapsed="false">
      <c r="A37" s="1" t="s">
        <v>349</v>
      </c>
      <c r="DJ37" s="1" t="s">
        <v>241</v>
      </c>
    </row>
    <row r="38" customFormat="false" ht="15" hidden="false" customHeight="true" outlineLevel="0" collapsed="false">
      <c r="A38" s="1" t="s">
        <v>350</v>
      </c>
      <c r="DJ38" s="1" t="s">
        <v>242</v>
      </c>
    </row>
    <row r="39" customFormat="false" ht="15" hidden="false" customHeight="true" outlineLevel="0" collapsed="false">
      <c r="A39" s="1" t="s">
        <v>425</v>
      </c>
      <c r="DJ39" s="1" t="s">
        <v>243</v>
      </c>
    </row>
    <row r="40" customFormat="false" ht="15" hidden="false" customHeight="true" outlineLevel="0" collapsed="false">
      <c r="A40" s="1" t="s">
        <v>351</v>
      </c>
      <c r="DJ40" s="1" t="s">
        <v>244</v>
      </c>
    </row>
    <row r="41" customFormat="false" ht="15" hidden="false" customHeight="true" outlineLevel="0" collapsed="false">
      <c r="A41" s="1" t="s">
        <v>352</v>
      </c>
      <c r="DJ41" s="1" t="s">
        <v>245</v>
      </c>
    </row>
    <row r="42" customFormat="false" ht="15" hidden="false" customHeight="true" outlineLevel="0" collapsed="false">
      <c r="A42" s="1" t="s">
        <v>353</v>
      </c>
      <c r="DJ42" s="1" t="s">
        <v>246</v>
      </c>
    </row>
    <row r="43" customFormat="false" ht="15" hidden="false" customHeight="true" outlineLevel="0" collapsed="false">
      <c r="DJ43" s="1" t="s">
        <v>247</v>
      </c>
    </row>
    <row r="44" customFormat="false" ht="15" hidden="false" customHeight="true" outlineLevel="0" collapsed="false">
      <c r="DJ44" s="1" t="s">
        <v>248</v>
      </c>
    </row>
    <row r="45" customFormat="false" ht="15" hidden="false" customHeight="true" outlineLevel="0" collapsed="false">
      <c r="DJ45" s="1" t="s">
        <v>249</v>
      </c>
    </row>
    <row r="46" customFormat="false" ht="15" hidden="false" customHeight="true" outlineLevel="0" collapsed="false">
      <c r="DJ46" s="1" t="s">
        <v>250</v>
      </c>
    </row>
    <row r="47" customFormat="false" ht="15" hidden="false" customHeight="true" outlineLevel="0" collapsed="false">
      <c r="DJ47" s="1" t="s">
        <v>251</v>
      </c>
    </row>
    <row r="48" customFormat="false" ht="15" hidden="false" customHeight="true" outlineLevel="0" collapsed="false">
      <c r="DJ48" s="1" t="s">
        <v>252</v>
      </c>
    </row>
    <row r="49" customFormat="false" ht="15" hidden="false" customHeight="true" outlineLevel="0" collapsed="false">
      <c r="DJ49" s="1" t="s">
        <v>253</v>
      </c>
    </row>
    <row r="50" customFormat="false" ht="15" hidden="false" customHeight="true" outlineLevel="0" collapsed="false">
      <c r="DJ50" s="1" t="s">
        <v>254</v>
      </c>
    </row>
    <row r="51" customFormat="false" ht="15" hidden="false" customHeight="true" outlineLevel="0" collapsed="false">
      <c r="DJ51" s="1" t="s">
        <v>255</v>
      </c>
    </row>
    <row r="52" customFormat="false" ht="15" hidden="false" customHeight="true" outlineLevel="0" collapsed="false">
      <c r="DJ52" s="1" t="s">
        <v>256</v>
      </c>
    </row>
    <row r="53" customFormat="false" ht="15" hidden="false" customHeight="true" outlineLevel="0" collapsed="false">
      <c r="DJ53" s="1" t="s">
        <v>257</v>
      </c>
    </row>
    <row r="54" customFormat="false" ht="15" hidden="false" customHeight="true" outlineLevel="0" collapsed="false">
      <c r="DJ54" s="1" t="s">
        <v>258</v>
      </c>
    </row>
    <row r="55" customFormat="false" ht="15" hidden="false" customHeight="true" outlineLevel="0" collapsed="false">
      <c r="DJ55" s="1" t="s">
        <v>259</v>
      </c>
    </row>
    <row r="56" customFormat="false" ht="15" hidden="false" customHeight="true" outlineLevel="0" collapsed="false">
      <c r="DJ56" s="1" t="s">
        <v>260</v>
      </c>
    </row>
    <row r="57" customFormat="false" ht="15" hidden="false" customHeight="true" outlineLevel="0" collapsed="false">
      <c r="DJ57" s="1" t="s">
        <v>261</v>
      </c>
    </row>
    <row r="58" customFormat="false" ht="15" hidden="false" customHeight="true" outlineLevel="0" collapsed="false">
      <c r="DJ58" s="1" t="s">
        <v>262</v>
      </c>
    </row>
    <row r="59" customFormat="false" ht="15" hidden="false" customHeight="true" outlineLevel="0" collapsed="false">
      <c r="DJ59" s="1" t="s">
        <v>263</v>
      </c>
    </row>
    <row r="60" customFormat="false" ht="15" hidden="false" customHeight="true" outlineLevel="0" collapsed="false">
      <c r="DJ60" s="1" t="s">
        <v>264</v>
      </c>
    </row>
    <row r="61" customFormat="false" ht="15" hidden="false" customHeight="true" outlineLevel="0" collapsed="false">
      <c r="DJ61" s="1" t="s">
        <v>265</v>
      </c>
    </row>
    <row r="62" customFormat="false" ht="15" hidden="false" customHeight="true" outlineLevel="0" collapsed="false">
      <c r="DJ62" s="1" t="s">
        <v>266</v>
      </c>
    </row>
    <row r="63" customFormat="false" ht="15" hidden="false" customHeight="true" outlineLevel="0" collapsed="false">
      <c r="DJ63" s="1" t="s">
        <v>267</v>
      </c>
    </row>
    <row r="64" customFormat="false" ht="15" hidden="false" customHeight="true" outlineLevel="0" collapsed="false">
      <c r="DJ64" s="1" t="s">
        <v>268</v>
      </c>
    </row>
    <row r="65" customFormat="false" ht="15" hidden="false" customHeight="true" outlineLevel="0" collapsed="false">
      <c r="DJ65" s="1" t="s">
        <v>269</v>
      </c>
    </row>
    <row r="66" customFormat="false" ht="15" hidden="false" customHeight="true" outlineLevel="0" collapsed="false">
      <c r="DJ66" s="1" t="s">
        <v>270</v>
      </c>
    </row>
    <row r="67" customFormat="false" ht="15" hidden="false" customHeight="true" outlineLevel="0" collapsed="false">
      <c r="DJ67" s="1" t="s">
        <v>271</v>
      </c>
    </row>
    <row r="68" customFormat="false" ht="15" hidden="false" customHeight="true" outlineLevel="0" collapsed="false">
      <c r="DJ68" s="1" t="s">
        <v>272</v>
      </c>
    </row>
    <row r="69" customFormat="false" ht="15" hidden="false" customHeight="true" outlineLevel="0" collapsed="false">
      <c r="DJ69" s="1" t="s">
        <v>273</v>
      </c>
    </row>
    <row r="70" customFormat="false" ht="15" hidden="false" customHeight="true" outlineLevel="0" collapsed="false">
      <c r="DJ70" s="1" t="s">
        <v>274</v>
      </c>
    </row>
    <row r="71" customFormat="false" ht="15" hidden="false" customHeight="true" outlineLevel="0" collapsed="false">
      <c r="DJ71" s="1" t="s">
        <v>275</v>
      </c>
    </row>
    <row r="72" customFormat="false" ht="15" hidden="false" customHeight="true" outlineLevel="0" collapsed="false">
      <c r="DJ72" s="1" t="s">
        <v>276</v>
      </c>
    </row>
    <row r="73" customFormat="false" ht="15" hidden="false" customHeight="true" outlineLevel="0" collapsed="false">
      <c r="DJ73" s="1" t="s">
        <v>277</v>
      </c>
    </row>
    <row r="74" customFormat="false" ht="15" hidden="false" customHeight="true" outlineLevel="0" collapsed="false">
      <c r="DJ74" s="1" t="s">
        <v>278</v>
      </c>
    </row>
    <row r="75" customFormat="false" ht="15" hidden="false" customHeight="true" outlineLevel="0" collapsed="false">
      <c r="DJ75" s="1" t="s">
        <v>279</v>
      </c>
    </row>
    <row r="76" customFormat="false" ht="15" hidden="false" customHeight="true" outlineLevel="0" collapsed="false">
      <c r="DJ76" s="1" t="s">
        <v>280</v>
      </c>
    </row>
    <row r="77" customFormat="false" ht="15" hidden="false" customHeight="true" outlineLevel="0" collapsed="false">
      <c r="DJ77" s="1" t="s">
        <v>281</v>
      </c>
    </row>
    <row r="78" customFormat="false" ht="15" hidden="false" customHeight="true" outlineLevel="0" collapsed="false">
      <c r="DJ78" s="1" t="s">
        <v>282</v>
      </c>
    </row>
    <row r="79" customFormat="false" ht="15" hidden="false" customHeight="true" outlineLevel="0" collapsed="false">
      <c r="DJ79" s="1" t="s">
        <v>283</v>
      </c>
    </row>
    <row r="80" customFormat="false" ht="15" hidden="false" customHeight="true" outlineLevel="0" collapsed="false">
      <c r="DJ80" s="1" t="s">
        <v>284</v>
      </c>
    </row>
    <row r="81" customFormat="false" ht="15" hidden="false" customHeight="true" outlineLevel="0" collapsed="false">
      <c r="DJ81" s="1" t="s">
        <v>285</v>
      </c>
    </row>
    <row r="82" customFormat="false" ht="15" hidden="false" customHeight="true" outlineLevel="0" collapsed="false">
      <c r="DJ82" s="1" t="s">
        <v>286</v>
      </c>
    </row>
    <row r="83" customFormat="false" ht="15" hidden="false" customHeight="true" outlineLevel="0" collapsed="false">
      <c r="DJ83" s="1" t="s">
        <v>287</v>
      </c>
    </row>
    <row r="84" customFormat="false" ht="15" hidden="false" customHeight="true" outlineLevel="0" collapsed="false">
      <c r="DJ84" s="1" t="s">
        <v>288</v>
      </c>
    </row>
    <row r="85" customFormat="false" ht="15" hidden="false" customHeight="true" outlineLevel="0" collapsed="false">
      <c r="DJ85" s="1" t="s">
        <v>289</v>
      </c>
    </row>
    <row r="86" customFormat="false" ht="15" hidden="false" customHeight="true" outlineLevel="0" collapsed="false">
      <c r="DJ86" s="1" t="s">
        <v>290</v>
      </c>
    </row>
    <row r="87" customFormat="false" ht="15" hidden="false" customHeight="true" outlineLevel="0" collapsed="false">
      <c r="DJ87" s="1" t="s">
        <v>291</v>
      </c>
    </row>
    <row r="88" customFormat="false" ht="15" hidden="false" customHeight="true" outlineLevel="0" collapsed="false">
      <c r="DJ88" s="1" t="s">
        <v>292</v>
      </c>
    </row>
    <row r="89" customFormat="false" ht="15" hidden="false" customHeight="true" outlineLevel="0" collapsed="false">
      <c r="DJ89" s="1" t="s">
        <v>293</v>
      </c>
    </row>
    <row r="90" customFormat="false" ht="15" hidden="false" customHeight="true" outlineLevel="0" collapsed="false">
      <c r="DJ90" s="1" t="s">
        <v>294</v>
      </c>
    </row>
    <row r="91" customFormat="false" ht="15" hidden="false" customHeight="true" outlineLevel="0" collapsed="false">
      <c r="DJ91" s="1" t="s">
        <v>295</v>
      </c>
    </row>
    <row r="92" customFormat="false" ht="15" hidden="false" customHeight="true" outlineLevel="0" collapsed="false">
      <c r="DJ92" s="1" t="s">
        <v>296</v>
      </c>
    </row>
    <row r="93" customFormat="false" ht="15" hidden="false" customHeight="true" outlineLevel="0" collapsed="false">
      <c r="DJ93" s="1" t="s">
        <v>297</v>
      </c>
    </row>
    <row r="94" customFormat="false" ht="15" hidden="false" customHeight="true" outlineLevel="0" collapsed="false">
      <c r="DJ94" s="1" t="s">
        <v>298</v>
      </c>
    </row>
    <row r="95" customFormat="false" ht="15" hidden="false" customHeight="true" outlineLevel="0" collapsed="false">
      <c r="DJ95" s="1" t="s">
        <v>299</v>
      </c>
    </row>
    <row r="96" customFormat="false" ht="15" hidden="false" customHeight="true" outlineLevel="0" collapsed="false">
      <c r="DJ96" s="1" t="s">
        <v>300</v>
      </c>
    </row>
    <row r="97" customFormat="false" ht="15" hidden="false" customHeight="true" outlineLevel="0" collapsed="false">
      <c r="DJ97" s="1" t="s">
        <v>301</v>
      </c>
    </row>
    <row r="98" customFormat="false" ht="15" hidden="false" customHeight="true" outlineLevel="0" collapsed="false">
      <c r="DJ98" s="1" t="s">
        <v>302</v>
      </c>
    </row>
    <row r="99" customFormat="false" ht="15" hidden="false" customHeight="true" outlineLevel="0" collapsed="false">
      <c r="DJ99" s="1" t="s">
        <v>303</v>
      </c>
    </row>
    <row r="100" customFormat="false" ht="15" hidden="false" customHeight="true" outlineLevel="0" collapsed="false">
      <c r="DJ100" s="1" t="s">
        <v>304</v>
      </c>
    </row>
    <row r="101" customFormat="false" ht="15" hidden="false" customHeight="true" outlineLevel="0" collapsed="false">
      <c r="DJ101" s="1" t="s">
        <v>305</v>
      </c>
    </row>
    <row r="102" customFormat="false" ht="15" hidden="false" customHeight="true" outlineLevel="0" collapsed="false">
      <c r="DJ102" s="1" t="s">
        <v>306</v>
      </c>
    </row>
    <row r="103" customFormat="false" ht="15" hidden="false" customHeight="true" outlineLevel="0" collapsed="false">
      <c r="DJ103" s="1" t="s">
        <v>307</v>
      </c>
    </row>
    <row r="104" customFormat="false" ht="15" hidden="false" customHeight="true" outlineLevel="0" collapsed="false">
      <c r="DJ104" s="1" t="s">
        <v>308</v>
      </c>
    </row>
    <row r="105" customFormat="false" ht="15" hidden="false" customHeight="true" outlineLevel="0" collapsed="false">
      <c r="DJ105" s="1" t="s">
        <v>309</v>
      </c>
    </row>
    <row r="106" customFormat="false" ht="15" hidden="false" customHeight="true" outlineLevel="0" collapsed="false">
      <c r="DJ106" s="1" t="s">
        <v>310</v>
      </c>
    </row>
    <row r="107" customFormat="false" ht="15" hidden="false" customHeight="true" outlineLevel="0" collapsed="false">
      <c r="DJ107" s="1" t="s">
        <v>311</v>
      </c>
    </row>
    <row r="108" customFormat="false" ht="15" hidden="false" customHeight="true" outlineLevel="0" collapsed="false">
      <c r="DJ108" s="1" t="s">
        <v>312</v>
      </c>
    </row>
    <row r="109" customFormat="false" ht="15" hidden="false" customHeight="true" outlineLevel="0" collapsed="false">
      <c r="DJ109" s="1" t="s">
        <v>313</v>
      </c>
    </row>
    <row r="110" customFormat="false" ht="15" hidden="false" customHeight="true" outlineLevel="0" collapsed="false">
      <c r="DJ110" s="1" t="s">
        <v>314</v>
      </c>
    </row>
    <row r="111" customFormat="false" ht="15" hidden="false" customHeight="true" outlineLevel="0" collapsed="false">
      <c r="DJ111" s="1" t="s">
        <v>315</v>
      </c>
    </row>
    <row r="112" customFormat="false" ht="15" hidden="false" customHeight="true" outlineLevel="0" collapsed="false">
      <c r="DJ112" s="1" t="s">
        <v>316</v>
      </c>
    </row>
    <row r="113" customFormat="false" ht="15" hidden="false" customHeight="true" outlineLevel="0" collapsed="false">
      <c r="DJ113" s="1" t="s">
        <v>317</v>
      </c>
    </row>
    <row r="114" customFormat="false" ht="15" hidden="false" customHeight="true" outlineLevel="0" collapsed="false">
      <c r="DJ114" s="1" t="s">
        <v>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F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8"/>
    <col collapsed="false" customWidth="true" hidden="false" outlineLevel="0" max="5" min="3" style="1" width="10"/>
    <col collapsed="false" customWidth="true" hidden="false" outlineLevel="0" max="6" min="6" style="1" width="8"/>
  </cols>
  <sheetData>
    <row r="1" customFormat="false" ht="15" hidden="false" customHeight="true" outlineLevel="0" collapsed="false">
      <c r="A1" s="12" t="s">
        <v>462</v>
      </c>
      <c r="B1" s="12" t="s">
        <v>463</v>
      </c>
      <c r="C1" s="12" t="s">
        <v>45</v>
      </c>
      <c r="D1" s="13" t="s">
        <v>464</v>
      </c>
      <c r="E1" s="13" t="s">
        <v>465</v>
      </c>
      <c r="F1" s="12" t="s">
        <v>178</v>
      </c>
    </row>
    <row r="2" customFormat="false" ht="15" hidden="false" customHeight="true" outlineLevel="0" collapsed="false">
      <c r="A2" s="15" t="s">
        <v>320</v>
      </c>
      <c r="B2" s="15" t="s">
        <v>49</v>
      </c>
      <c r="C2" s="15" t="n">
        <v>16.9</v>
      </c>
      <c r="D2" s="15" t="n">
        <v>0.588</v>
      </c>
      <c r="E2" s="15" t="n">
        <v>100</v>
      </c>
      <c r="F2" s="15" t="s">
        <v>466</v>
      </c>
    </row>
    <row r="3" customFormat="false" ht="15" hidden="false" customHeight="true" outlineLevel="0" collapsed="false">
      <c r="A3" s="15" t="s">
        <v>330</v>
      </c>
      <c r="B3" s="15" t="s">
        <v>49</v>
      </c>
      <c r="C3" s="15" t="n">
        <v>23.6</v>
      </c>
      <c r="D3" s="15" t="n">
        <v>0.737</v>
      </c>
      <c r="E3" s="15" t="n">
        <v>125</v>
      </c>
      <c r="F3" s="15" t="s">
        <v>466</v>
      </c>
    </row>
    <row r="4" customFormat="false" ht="15" hidden="false" customHeight="true" outlineLevel="0" collapsed="false">
      <c r="A4" s="15" t="s">
        <v>331</v>
      </c>
      <c r="B4" s="15" t="s">
        <v>49</v>
      </c>
      <c r="C4" s="15" t="n">
        <v>14</v>
      </c>
      <c r="D4" s="15" t="n">
        <v>0.59</v>
      </c>
      <c r="E4" s="15" t="n">
        <v>75</v>
      </c>
      <c r="F4" s="15" t="s">
        <v>466</v>
      </c>
    </row>
    <row r="5" customFormat="false" ht="15" hidden="false" customHeight="true" outlineLevel="0" collapsed="false">
      <c r="A5" s="15" t="s">
        <v>415</v>
      </c>
      <c r="B5" s="15" t="s">
        <v>49</v>
      </c>
      <c r="C5" s="15" t="n">
        <v>31.1</v>
      </c>
      <c r="D5" s="15" t="n">
        <v>0.886</v>
      </c>
      <c r="E5" s="15" t="n">
        <v>150</v>
      </c>
      <c r="F5" s="15" t="s">
        <v>466</v>
      </c>
    </row>
    <row r="6" customFormat="false" ht="15" hidden="false" customHeight="true" outlineLevel="0" collapsed="false">
      <c r="A6" s="15" t="s">
        <v>332</v>
      </c>
      <c r="B6" s="15" t="s">
        <v>49</v>
      </c>
      <c r="C6" s="15" t="n">
        <v>40.4</v>
      </c>
      <c r="D6" s="15" t="n">
        <v>1.035</v>
      </c>
      <c r="E6" s="15" t="n">
        <v>175</v>
      </c>
      <c r="F6" s="15" t="s">
        <v>466</v>
      </c>
    </row>
    <row r="7" customFormat="false" ht="15" hidden="false" customHeight="true" outlineLevel="0" collapsed="false">
      <c r="A7" s="15" t="s">
        <v>57</v>
      </c>
      <c r="B7" s="15" t="s">
        <v>49</v>
      </c>
      <c r="C7" s="15" t="n">
        <v>29.9</v>
      </c>
      <c r="D7" s="15" t="n">
        <v>0.976</v>
      </c>
      <c r="E7" s="15" t="n">
        <v>150</v>
      </c>
      <c r="F7" s="15" t="s">
        <v>466</v>
      </c>
    </row>
    <row r="8" customFormat="false" ht="15" hidden="false" customHeight="true" outlineLevel="0" collapsed="false">
      <c r="A8" s="15" t="s">
        <v>333</v>
      </c>
      <c r="B8" s="15" t="s">
        <v>49</v>
      </c>
      <c r="C8" s="15" t="n">
        <v>20.9</v>
      </c>
      <c r="D8" s="15" t="n">
        <v>0.789</v>
      </c>
      <c r="E8" s="15" t="n">
        <v>100</v>
      </c>
      <c r="F8" s="15" t="s">
        <v>466</v>
      </c>
    </row>
    <row r="9" customFormat="false" ht="15" hidden="false" customHeight="true" outlineLevel="0" collapsed="false">
      <c r="A9" s="15" t="s">
        <v>416</v>
      </c>
      <c r="B9" s="15" t="s">
        <v>49</v>
      </c>
      <c r="C9" s="15" t="n">
        <v>49.9</v>
      </c>
      <c r="D9" s="15" t="n">
        <v>1.184</v>
      </c>
      <c r="E9" s="15" t="n">
        <v>200</v>
      </c>
      <c r="F9" s="15" t="s">
        <v>466</v>
      </c>
    </row>
    <row r="10" customFormat="false" ht="15" hidden="false" customHeight="true" outlineLevel="0" collapsed="false">
      <c r="A10" s="15" t="s">
        <v>55</v>
      </c>
      <c r="B10" s="15" t="s">
        <v>49</v>
      </c>
      <c r="C10" s="15" t="n">
        <v>43.6</v>
      </c>
      <c r="D10" s="15" t="n">
        <v>1.174</v>
      </c>
      <c r="E10" s="15" t="n">
        <v>175</v>
      </c>
      <c r="F10" s="15" t="s">
        <v>466</v>
      </c>
    </row>
    <row r="11" customFormat="false" ht="15" hidden="false" customHeight="true" outlineLevel="0" collapsed="false">
      <c r="A11" s="15" t="s">
        <v>417</v>
      </c>
      <c r="B11" s="15" t="s">
        <v>49</v>
      </c>
      <c r="C11" s="15" t="n">
        <v>64.4</v>
      </c>
      <c r="D11" s="15" t="n">
        <v>1.474</v>
      </c>
      <c r="E11" s="15" t="n">
        <v>252</v>
      </c>
      <c r="F11" s="15" t="s">
        <v>466</v>
      </c>
    </row>
    <row r="12" customFormat="false" ht="15" hidden="false" customHeight="true" outlineLevel="0" collapsed="false">
      <c r="A12" s="15" t="s">
        <v>334</v>
      </c>
      <c r="B12" s="15" t="s">
        <v>49</v>
      </c>
      <c r="C12" s="15" t="n">
        <v>25.1</v>
      </c>
      <c r="D12" s="15" t="n">
        <v>0.982</v>
      </c>
      <c r="E12" s="15" t="n">
        <v>124</v>
      </c>
      <c r="F12" s="15" t="s">
        <v>466</v>
      </c>
    </row>
    <row r="13" customFormat="false" ht="15" hidden="false" customHeight="true" outlineLevel="0" collapsed="false">
      <c r="A13" s="15" t="s">
        <v>335</v>
      </c>
      <c r="B13" s="15" t="s">
        <v>49</v>
      </c>
      <c r="C13" s="15" t="n">
        <v>29</v>
      </c>
      <c r="D13" s="15" t="n">
        <v>0.988</v>
      </c>
      <c r="E13" s="15" t="n">
        <v>125</v>
      </c>
      <c r="F13" s="15" t="s">
        <v>466</v>
      </c>
    </row>
    <row r="14" customFormat="false" ht="15" hidden="false" customHeight="true" outlineLevel="0" collapsed="false">
      <c r="A14" s="15" t="s">
        <v>418</v>
      </c>
      <c r="B14" s="15" t="s">
        <v>49</v>
      </c>
      <c r="C14" s="15" t="n">
        <v>71.8</v>
      </c>
      <c r="D14" s="15" t="n">
        <v>1.482</v>
      </c>
      <c r="E14" s="15" t="n">
        <v>250</v>
      </c>
      <c r="F14" s="15" t="s">
        <v>466</v>
      </c>
    </row>
    <row r="15" customFormat="false" ht="15" hidden="false" customHeight="true" outlineLevel="0" collapsed="false">
      <c r="A15" s="15" t="s">
        <v>51</v>
      </c>
      <c r="B15" s="15" t="s">
        <v>49</v>
      </c>
      <c r="C15" s="15" t="n">
        <v>55.8</v>
      </c>
      <c r="D15" s="15" t="n">
        <v>1.372</v>
      </c>
      <c r="E15" s="15" t="n">
        <v>200</v>
      </c>
      <c r="F15" s="15" t="s">
        <v>466</v>
      </c>
    </row>
    <row r="16" customFormat="false" ht="15" hidden="false" customHeight="true" outlineLevel="0" collapsed="false">
      <c r="A16" s="15" t="s">
        <v>419</v>
      </c>
      <c r="B16" s="15" t="s">
        <v>49</v>
      </c>
      <c r="C16" s="15" t="n">
        <v>83.5</v>
      </c>
      <c r="D16" s="15" t="n">
        <v>1.772</v>
      </c>
      <c r="E16" s="15" t="n">
        <v>302</v>
      </c>
      <c r="F16" s="15" t="s">
        <v>466</v>
      </c>
    </row>
    <row r="17" customFormat="false" ht="15" hidden="false" customHeight="true" outlineLevel="0" collapsed="false">
      <c r="A17" s="15" t="s">
        <v>336</v>
      </c>
      <c r="B17" s="15" t="s">
        <v>49</v>
      </c>
      <c r="C17" s="15" t="n">
        <v>32</v>
      </c>
      <c r="D17" s="15" t="n">
        <v>1.181</v>
      </c>
      <c r="E17" s="15" t="n">
        <v>149</v>
      </c>
      <c r="F17" s="15" t="s">
        <v>466</v>
      </c>
    </row>
    <row r="18" customFormat="false" ht="15" hidden="false" customHeight="true" outlineLevel="0" collapsed="false">
      <c r="A18" s="15" t="s">
        <v>337</v>
      </c>
      <c r="B18" s="15" t="s">
        <v>49</v>
      </c>
      <c r="C18" s="15" t="n">
        <v>36.7</v>
      </c>
      <c r="D18" s="15" t="n">
        <v>1.187</v>
      </c>
      <c r="E18" s="15" t="n">
        <v>150</v>
      </c>
      <c r="F18" s="15" t="s">
        <v>466</v>
      </c>
    </row>
    <row r="19" customFormat="false" ht="15" hidden="false" customHeight="true" outlineLevel="0" collapsed="false">
      <c r="A19" s="15" t="s">
        <v>420</v>
      </c>
      <c r="B19" s="15" t="s">
        <v>49</v>
      </c>
      <c r="C19" s="15" t="n">
        <v>93</v>
      </c>
      <c r="D19" s="15" t="n">
        <v>1.78</v>
      </c>
      <c r="E19" s="15" t="n">
        <v>300</v>
      </c>
      <c r="F19" s="15" t="s">
        <v>466</v>
      </c>
    </row>
    <row r="20" customFormat="false" ht="15" hidden="false" customHeight="true" outlineLevel="0" collapsed="false">
      <c r="A20" s="15" t="s">
        <v>70</v>
      </c>
      <c r="B20" s="15" t="s">
        <v>49</v>
      </c>
      <c r="C20" s="15" t="n">
        <v>49.6</v>
      </c>
      <c r="D20" s="15" t="n">
        <v>1.366</v>
      </c>
      <c r="E20" s="15" t="n">
        <v>175</v>
      </c>
      <c r="F20" s="15" t="s">
        <v>466</v>
      </c>
    </row>
    <row r="21" customFormat="false" ht="15" hidden="false" customHeight="true" outlineLevel="0" collapsed="false">
      <c r="A21" s="15" t="s">
        <v>421</v>
      </c>
      <c r="B21" s="15" t="s">
        <v>49</v>
      </c>
      <c r="C21" s="15" t="n">
        <v>78.1</v>
      </c>
      <c r="D21" s="15" t="n">
        <v>1.662</v>
      </c>
      <c r="E21" s="15" t="n">
        <v>250</v>
      </c>
      <c r="F21" s="15" t="s">
        <v>466</v>
      </c>
    </row>
    <row r="22" customFormat="false" ht="15" hidden="false" customHeight="true" outlineLevel="0" collapsed="false">
      <c r="A22" s="15" t="s">
        <v>338</v>
      </c>
      <c r="B22" s="15" t="s">
        <v>49</v>
      </c>
      <c r="C22" s="15" t="n">
        <v>41.2</v>
      </c>
      <c r="D22" s="15" t="n">
        <v>1.376</v>
      </c>
      <c r="E22" s="15" t="n">
        <v>174</v>
      </c>
      <c r="F22" s="15" t="s">
        <v>466</v>
      </c>
    </row>
    <row r="23" customFormat="false" ht="15" hidden="false" customHeight="true" outlineLevel="0" collapsed="false">
      <c r="A23" s="15" t="s">
        <v>339</v>
      </c>
      <c r="B23" s="15" t="s">
        <v>49</v>
      </c>
      <c r="C23" s="15" t="n">
        <v>49.4</v>
      </c>
      <c r="D23" s="15" t="n">
        <v>1.386</v>
      </c>
      <c r="E23" s="15" t="n">
        <v>175</v>
      </c>
      <c r="F23" s="15" t="s">
        <v>466</v>
      </c>
    </row>
    <row r="24" customFormat="false" ht="15" hidden="false" customHeight="true" outlineLevel="0" collapsed="false">
      <c r="A24" s="15" t="s">
        <v>422</v>
      </c>
      <c r="B24" s="15" t="s">
        <v>49</v>
      </c>
      <c r="C24" s="15" t="n">
        <v>135</v>
      </c>
      <c r="D24" s="15" t="n">
        <v>2.076</v>
      </c>
      <c r="E24" s="15" t="n">
        <v>350</v>
      </c>
      <c r="F24" s="15" t="s">
        <v>466</v>
      </c>
    </row>
    <row r="25" customFormat="false" ht="15" hidden="false" customHeight="true" outlineLevel="0" collapsed="false">
      <c r="A25" s="15" t="s">
        <v>340</v>
      </c>
      <c r="B25" s="15" t="s">
        <v>49</v>
      </c>
      <c r="C25" s="15" t="n">
        <v>105</v>
      </c>
      <c r="D25" s="15" t="n">
        <v>1.96</v>
      </c>
      <c r="E25" s="15" t="n">
        <v>300</v>
      </c>
      <c r="F25" s="15" t="s">
        <v>466</v>
      </c>
    </row>
    <row r="26" customFormat="false" ht="15" hidden="false" customHeight="true" outlineLevel="0" collapsed="false">
      <c r="A26" s="15" t="s">
        <v>341</v>
      </c>
      <c r="B26" s="15" t="s">
        <v>49</v>
      </c>
      <c r="C26" s="15" t="n">
        <v>147</v>
      </c>
      <c r="D26" s="15" t="n">
        <v>2.358</v>
      </c>
      <c r="E26" s="15" t="n">
        <v>398</v>
      </c>
      <c r="F26" s="15" t="s">
        <v>466</v>
      </c>
    </row>
    <row r="27" customFormat="false" ht="15" hidden="false" customHeight="true" outlineLevel="0" collapsed="false">
      <c r="A27" s="15" t="s">
        <v>342</v>
      </c>
      <c r="B27" s="15" t="s">
        <v>49</v>
      </c>
      <c r="C27" s="15" t="n">
        <v>56.1</v>
      </c>
      <c r="D27" s="15" t="n">
        <v>1.574</v>
      </c>
      <c r="E27" s="15" t="n">
        <v>199</v>
      </c>
      <c r="F27" s="15" t="s">
        <v>466</v>
      </c>
    </row>
    <row r="28" customFormat="false" ht="15" hidden="false" customHeight="true" outlineLevel="0" collapsed="false">
      <c r="A28" s="15" t="s">
        <v>343</v>
      </c>
      <c r="B28" s="15" t="s">
        <v>49</v>
      </c>
      <c r="C28" s="15" t="n">
        <v>65.4</v>
      </c>
      <c r="D28" s="15" t="n">
        <v>1.584</v>
      </c>
      <c r="E28" s="15" t="n">
        <v>200</v>
      </c>
      <c r="F28" s="15" t="s">
        <v>466</v>
      </c>
    </row>
    <row r="29" customFormat="false" ht="15" hidden="false" customHeight="true" outlineLevel="0" collapsed="false">
      <c r="A29" s="15" t="s">
        <v>423</v>
      </c>
      <c r="B29" s="15" t="s">
        <v>49</v>
      </c>
      <c r="C29" s="15" t="n">
        <v>172</v>
      </c>
      <c r="D29" s="15" t="n">
        <v>2.374</v>
      </c>
      <c r="E29" s="15" t="n">
        <v>400</v>
      </c>
      <c r="F29" s="15" t="s">
        <v>466</v>
      </c>
    </row>
    <row r="30" customFormat="false" ht="15" hidden="false" customHeight="true" outlineLevel="0" collapsed="false">
      <c r="A30" s="15" t="s">
        <v>344</v>
      </c>
      <c r="B30" s="15" t="s">
        <v>49</v>
      </c>
      <c r="C30" s="15" t="n">
        <v>65.1</v>
      </c>
      <c r="D30" s="15" t="n">
        <v>1.672</v>
      </c>
      <c r="E30" s="15" t="n">
        <v>199</v>
      </c>
      <c r="F30" s="15" t="s">
        <v>466</v>
      </c>
    </row>
    <row r="31" customFormat="false" ht="15" hidden="false" customHeight="true" outlineLevel="0" collapsed="false">
      <c r="A31" s="15" t="s">
        <v>345</v>
      </c>
      <c r="B31" s="15" t="s">
        <v>49</v>
      </c>
      <c r="C31" s="15" t="n">
        <v>74.9</v>
      </c>
      <c r="D31" s="15" t="n">
        <v>1.682</v>
      </c>
      <c r="E31" s="15" t="n">
        <v>200</v>
      </c>
      <c r="F31" s="15" t="s">
        <v>466</v>
      </c>
    </row>
    <row r="32" customFormat="false" ht="15" hidden="false" customHeight="true" outlineLevel="0" collapsed="false">
      <c r="A32" s="15" t="s">
        <v>346</v>
      </c>
      <c r="B32" s="15" t="s">
        <v>49</v>
      </c>
      <c r="C32" s="15" t="n">
        <v>111</v>
      </c>
      <c r="D32" s="15" t="n">
        <v>2.142</v>
      </c>
      <c r="E32" s="15" t="n">
        <v>300</v>
      </c>
      <c r="F32" s="15" t="s">
        <v>466</v>
      </c>
    </row>
    <row r="33" customFormat="false" ht="15" hidden="false" customHeight="true" outlineLevel="0" collapsed="false">
      <c r="A33" s="15" t="s">
        <v>68</v>
      </c>
      <c r="B33" s="15" t="s">
        <v>49</v>
      </c>
      <c r="C33" s="15" t="n">
        <v>125</v>
      </c>
      <c r="D33" s="15" t="n">
        <v>2.154</v>
      </c>
      <c r="E33" s="15" t="n">
        <v>300</v>
      </c>
      <c r="F33" s="15" t="s">
        <v>466</v>
      </c>
    </row>
    <row r="34" customFormat="false" ht="15" hidden="false" customHeight="true" outlineLevel="0" collapsed="false">
      <c r="A34" s="15" t="s">
        <v>347</v>
      </c>
      <c r="B34" s="15" t="s">
        <v>49</v>
      </c>
      <c r="C34" s="15" t="n">
        <v>77.9</v>
      </c>
      <c r="D34" s="15" t="n">
        <v>1.77</v>
      </c>
      <c r="E34" s="15" t="n">
        <v>199</v>
      </c>
      <c r="F34" s="15" t="s">
        <v>466</v>
      </c>
    </row>
    <row r="35" customFormat="false" ht="15" hidden="false" customHeight="true" outlineLevel="0" collapsed="false">
      <c r="A35" s="15" t="s">
        <v>348</v>
      </c>
      <c r="B35" s="15" t="s">
        <v>49</v>
      </c>
      <c r="C35" s="15" t="n">
        <v>88.1</v>
      </c>
      <c r="D35" s="15" t="n">
        <v>1.78</v>
      </c>
      <c r="E35" s="15" t="n">
        <v>200</v>
      </c>
      <c r="F35" s="15" t="s">
        <v>466</v>
      </c>
    </row>
    <row r="36" customFormat="false" ht="15" hidden="false" customHeight="true" outlineLevel="0" collapsed="false">
      <c r="A36" s="15" t="s">
        <v>424</v>
      </c>
      <c r="B36" s="15" t="s">
        <v>49</v>
      </c>
      <c r="C36" s="15" t="n">
        <v>141</v>
      </c>
      <c r="D36" s="15" t="n">
        <v>2.178</v>
      </c>
      <c r="E36" s="15" t="n">
        <v>300</v>
      </c>
      <c r="F36" s="15" t="s">
        <v>466</v>
      </c>
    </row>
    <row r="37" customFormat="false" ht="15" hidden="false" customHeight="true" outlineLevel="0" collapsed="false">
      <c r="A37" s="15" t="s">
        <v>349</v>
      </c>
      <c r="B37" s="15" t="s">
        <v>49</v>
      </c>
      <c r="C37" s="15" t="n">
        <v>147</v>
      </c>
      <c r="D37" s="15" t="n">
        <v>2.352</v>
      </c>
      <c r="E37" s="15" t="n">
        <v>300</v>
      </c>
      <c r="F37" s="15" t="s">
        <v>466</v>
      </c>
    </row>
    <row r="38" customFormat="false" ht="15" hidden="false" customHeight="true" outlineLevel="0" collapsed="false">
      <c r="A38" s="15" t="s">
        <v>350</v>
      </c>
      <c r="B38" s="15" t="s">
        <v>49</v>
      </c>
      <c r="C38" s="15" t="n">
        <v>103</v>
      </c>
      <c r="D38" s="15" t="n">
        <v>1.978</v>
      </c>
      <c r="E38" s="15" t="n">
        <v>200</v>
      </c>
      <c r="F38" s="15" t="s">
        <v>466</v>
      </c>
    </row>
    <row r="39" customFormat="false" ht="15" hidden="false" customHeight="true" outlineLevel="0" collapsed="false">
      <c r="A39" s="15" t="s">
        <v>425</v>
      </c>
      <c r="B39" s="15" t="s">
        <v>49</v>
      </c>
      <c r="C39" s="15" t="n">
        <v>164</v>
      </c>
      <c r="D39" s="15" t="n">
        <v>2.372</v>
      </c>
      <c r="E39" s="15" t="n">
        <v>300</v>
      </c>
      <c r="F39" s="15" t="s">
        <v>466</v>
      </c>
    </row>
    <row r="40" customFormat="false" ht="15" hidden="false" customHeight="true" outlineLevel="0" collapsed="false">
      <c r="A40" s="15" t="s">
        <v>351</v>
      </c>
      <c r="B40" s="15" t="s">
        <v>49</v>
      </c>
      <c r="C40" s="15" t="n">
        <v>182</v>
      </c>
      <c r="D40" s="15" t="n">
        <v>2.574</v>
      </c>
      <c r="E40" s="15" t="n">
        <v>300</v>
      </c>
      <c r="F40" s="15" t="s">
        <v>466</v>
      </c>
    </row>
    <row r="41" customFormat="false" ht="15" hidden="false" customHeight="true" outlineLevel="0" collapsed="false">
      <c r="A41" s="15" t="s">
        <v>352</v>
      </c>
      <c r="B41" s="15" t="s">
        <v>49</v>
      </c>
      <c r="C41" s="15" t="n">
        <v>207</v>
      </c>
      <c r="D41" s="15" t="n">
        <v>2.772</v>
      </c>
      <c r="E41" s="15" t="n">
        <v>300</v>
      </c>
      <c r="F41" s="15" t="s">
        <v>466</v>
      </c>
    </row>
    <row r="42" customFormat="false" ht="15" hidden="false" customHeight="true" outlineLevel="0" collapsed="false">
      <c r="A42" s="15" t="s">
        <v>353</v>
      </c>
      <c r="B42" s="15" t="s">
        <v>49</v>
      </c>
      <c r="C42" s="15" t="n">
        <v>243</v>
      </c>
      <c r="D42" s="15" t="n">
        <v>2.968</v>
      </c>
      <c r="E42" s="15" t="n">
        <v>300</v>
      </c>
      <c r="F42" s="15" t="s">
        <v>466</v>
      </c>
    </row>
    <row r="43" customFormat="false" ht="15" hidden="false" customHeight="true" outlineLevel="0" collapsed="false">
      <c r="A43" s="15" t="s">
        <v>321</v>
      </c>
      <c r="B43" s="15" t="s">
        <v>215</v>
      </c>
      <c r="C43" s="15" t="n">
        <v>9.3</v>
      </c>
      <c r="D43" s="15" t="n">
        <v>0.49</v>
      </c>
      <c r="E43" s="15" t="n">
        <v>68</v>
      </c>
      <c r="F43" s="15" t="s">
        <v>466</v>
      </c>
    </row>
    <row r="44" customFormat="false" ht="15" hidden="false" customHeight="true" outlineLevel="0" collapsed="false">
      <c r="A44" s="15" t="s">
        <v>354</v>
      </c>
      <c r="B44" s="15" t="s">
        <v>215</v>
      </c>
      <c r="C44" s="15" t="n">
        <v>13</v>
      </c>
      <c r="D44" s="15" t="n">
        <v>0.539</v>
      </c>
      <c r="E44" s="15" t="n">
        <v>75</v>
      </c>
      <c r="F44" s="15" t="s">
        <v>466</v>
      </c>
    </row>
    <row r="45" customFormat="false" ht="15" hidden="false" customHeight="true" outlineLevel="0" collapsed="false">
      <c r="A45" s="15" t="s">
        <v>355</v>
      </c>
      <c r="B45" s="15" t="s">
        <v>215</v>
      </c>
      <c r="C45" s="15" t="n">
        <v>14</v>
      </c>
      <c r="D45" s="15" t="n">
        <v>0.589</v>
      </c>
      <c r="E45" s="15" t="n">
        <v>75</v>
      </c>
      <c r="F45" s="15" t="s">
        <v>466</v>
      </c>
    </row>
    <row r="46" customFormat="false" ht="15" hidden="false" customHeight="true" outlineLevel="0" collapsed="false">
      <c r="A46" s="15" t="s">
        <v>356</v>
      </c>
      <c r="B46" s="15" t="s">
        <v>215</v>
      </c>
      <c r="C46" s="15" t="n">
        <v>21.3</v>
      </c>
      <c r="D46" s="15" t="n">
        <v>0.786</v>
      </c>
      <c r="E46" s="15" t="n">
        <v>100</v>
      </c>
      <c r="F46" s="15" t="s">
        <v>466</v>
      </c>
    </row>
    <row r="47" customFormat="false" ht="15" hidden="false" customHeight="true" outlineLevel="0" collapsed="false">
      <c r="A47" s="15" t="s">
        <v>357</v>
      </c>
      <c r="B47" s="15" t="s">
        <v>215</v>
      </c>
      <c r="C47" s="15" t="n">
        <v>29.6</v>
      </c>
      <c r="D47" s="15" t="n">
        <v>0.985</v>
      </c>
      <c r="E47" s="15" t="n">
        <v>125</v>
      </c>
      <c r="F47" s="15" t="s">
        <v>466</v>
      </c>
    </row>
    <row r="48" customFormat="false" ht="15" hidden="false" customHeight="true" outlineLevel="0" collapsed="false">
      <c r="A48" s="15" t="s">
        <v>358</v>
      </c>
      <c r="B48" s="15" t="s">
        <v>215</v>
      </c>
      <c r="C48" s="15" t="n">
        <v>36.7</v>
      </c>
      <c r="D48" s="15" t="n">
        <v>1.184</v>
      </c>
      <c r="E48" s="15" t="n">
        <v>150</v>
      </c>
      <c r="F48" s="15" t="s">
        <v>466</v>
      </c>
    </row>
    <row r="49" customFormat="false" ht="15" hidden="false" customHeight="true" outlineLevel="0" collapsed="false">
      <c r="A49" s="15" t="s">
        <v>359</v>
      </c>
      <c r="B49" s="15" t="s">
        <v>215</v>
      </c>
      <c r="C49" s="15" t="n">
        <v>44.1</v>
      </c>
      <c r="D49" s="15" t="n">
        <v>1.282</v>
      </c>
      <c r="E49" s="15" t="n">
        <v>150</v>
      </c>
      <c r="F49" s="15" t="s">
        <v>466</v>
      </c>
    </row>
    <row r="50" customFormat="false" ht="15" hidden="false" customHeight="true" outlineLevel="0" collapsed="false">
      <c r="A50" s="15" t="s">
        <v>360</v>
      </c>
      <c r="B50" s="15" t="s">
        <v>215</v>
      </c>
      <c r="C50" s="15" t="n">
        <v>55.1</v>
      </c>
      <c r="D50" s="15" t="n">
        <v>1.38</v>
      </c>
      <c r="E50" s="15" t="n">
        <v>150</v>
      </c>
      <c r="F50" s="15" t="s">
        <v>466</v>
      </c>
    </row>
    <row r="51" customFormat="false" ht="15" hidden="false" customHeight="true" outlineLevel="0" collapsed="false">
      <c r="A51" s="15" t="s">
        <v>322</v>
      </c>
      <c r="B51" s="15" t="s">
        <v>76</v>
      </c>
      <c r="C51" s="15" t="n">
        <v>6.92</v>
      </c>
      <c r="D51" s="15" t="n">
        <v>0.3</v>
      </c>
      <c r="E51" s="15" t="n">
        <v>40</v>
      </c>
      <c r="F51" s="15" t="s">
        <v>466</v>
      </c>
    </row>
    <row r="52" customFormat="false" ht="15" hidden="false" customHeight="true" outlineLevel="0" collapsed="false">
      <c r="A52" s="15" t="s">
        <v>361</v>
      </c>
      <c r="B52" s="15" t="s">
        <v>76</v>
      </c>
      <c r="C52" s="15" t="n">
        <v>9.36</v>
      </c>
      <c r="D52" s="15" t="n">
        <v>0.39</v>
      </c>
      <c r="E52" s="15" t="n">
        <v>50</v>
      </c>
      <c r="F52" s="15" t="s">
        <v>466</v>
      </c>
    </row>
    <row r="53" customFormat="false" ht="15" hidden="false" customHeight="true" outlineLevel="0" collapsed="false">
      <c r="A53" s="15" t="s">
        <v>362</v>
      </c>
      <c r="B53" s="15" t="s">
        <v>76</v>
      </c>
      <c r="C53" s="15" t="n">
        <v>13.4</v>
      </c>
      <c r="D53" s="15" t="n">
        <v>0.498</v>
      </c>
      <c r="E53" s="15" t="n">
        <v>65</v>
      </c>
      <c r="F53" s="15" t="s">
        <v>466</v>
      </c>
    </row>
    <row r="54" customFormat="false" ht="15" hidden="false" customHeight="true" outlineLevel="0" collapsed="false">
      <c r="A54" s="15" t="s">
        <v>78</v>
      </c>
      <c r="B54" s="15" t="s">
        <v>76</v>
      </c>
      <c r="C54" s="15" t="n">
        <v>18.6</v>
      </c>
      <c r="D54" s="15" t="n">
        <v>0.587</v>
      </c>
      <c r="E54" s="15" t="n">
        <v>75</v>
      </c>
      <c r="F54" s="15" t="s">
        <v>466</v>
      </c>
    </row>
    <row r="55" customFormat="false" ht="15" hidden="false" customHeight="true" outlineLevel="0" collapsed="false">
      <c r="A55" s="15" t="s">
        <v>363</v>
      </c>
      <c r="B55" s="15" t="s">
        <v>76</v>
      </c>
      <c r="C55" s="15" t="n">
        <v>21.4</v>
      </c>
      <c r="D55" s="15" t="n">
        <v>0.646</v>
      </c>
      <c r="E55" s="15" t="n">
        <v>75</v>
      </c>
      <c r="F55" s="15" t="s">
        <v>466</v>
      </c>
    </row>
    <row r="56" customFormat="false" ht="15" hidden="false" customHeight="true" outlineLevel="0" collapsed="false">
      <c r="A56" s="15" t="s">
        <v>143</v>
      </c>
      <c r="B56" s="15" t="s">
        <v>76</v>
      </c>
      <c r="C56" s="15" t="n">
        <v>24.6</v>
      </c>
      <c r="D56" s="15" t="n">
        <v>0.705</v>
      </c>
      <c r="E56" s="15" t="n">
        <v>80</v>
      </c>
      <c r="F56" s="15" t="s">
        <v>466</v>
      </c>
    </row>
    <row r="57" customFormat="false" ht="15" hidden="false" customHeight="true" outlineLevel="0" collapsed="false">
      <c r="A57" s="15" t="s">
        <v>364</v>
      </c>
      <c r="B57" s="15" t="s">
        <v>76</v>
      </c>
      <c r="C57" s="15" t="n">
        <v>29</v>
      </c>
      <c r="D57" s="15" t="n">
        <v>0.765</v>
      </c>
      <c r="E57" s="15" t="n">
        <v>80</v>
      </c>
      <c r="F57" s="15" t="s">
        <v>466</v>
      </c>
    </row>
    <row r="58" customFormat="false" ht="15" hidden="false" customHeight="true" outlineLevel="0" collapsed="false">
      <c r="A58" s="15" t="s">
        <v>365</v>
      </c>
      <c r="B58" s="15" t="s">
        <v>76</v>
      </c>
      <c r="C58" s="15" t="n">
        <v>34.6</v>
      </c>
      <c r="D58" s="15" t="n">
        <v>0.842</v>
      </c>
      <c r="E58" s="15" t="n">
        <v>90</v>
      </c>
      <c r="F58" s="15" t="s">
        <v>466</v>
      </c>
    </row>
    <row r="59" customFormat="false" ht="15" hidden="false" customHeight="true" outlineLevel="0" collapsed="false">
      <c r="A59" s="15" t="s">
        <v>366</v>
      </c>
      <c r="B59" s="15" t="s">
        <v>76</v>
      </c>
      <c r="C59" s="15" t="n">
        <v>38.1</v>
      </c>
      <c r="D59" s="15" t="n">
        <v>0.942</v>
      </c>
      <c r="E59" s="15" t="n">
        <v>90</v>
      </c>
      <c r="F59" s="15" t="s">
        <v>466</v>
      </c>
    </row>
    <row r="60" customFormat="false" ht="15" hidden="false" customHeight="true" outlineLevel="0" collapsed="false">
      <c r="A60" s="15" t="s">
        <v>367</v>
      </c>
      <c r="B60" s="15" t="s">
        <v>76</v>
      </c>
      <c r="C60" s="15" t="n">
        <v>54.5</v>
      </c>
      <c r="D60" s="15" t="n">
        <v>1.139</v>
      </c>
      <c r="E60" s="15" t="n">
        <v>100</v>
      </c>
      <c r="F60" s="15" t="s">
        <v>466</v>
      </c>
    </row>
    <row r="61" customFormat="false" ht="15" hidden="false" customHeight="true" outlineLevel="0" collapsed="false">
      <c r="A61" s="15" t="s">
        <v>323</v>
      </c>
      <c r="B61" s="15" t="s">
        <v>79</v>
      </c>
      <c r="C61" s="15" t="n">
        <v>2.29</v>
      </c>
      <c r="D61" s="15" t="n">
        <v>0.134</v>
      </c>
      <c r="E61" s="15" t="n">
        <v>0</v>
      </c>
      <c r="F61" s="15" t="s">
        <v>466</v>
      </c>
    </row>
    <row r="62" customFormat="false" ht="15" hidden="false" customHeight="true" outlineLevel="0" collapsed="false">
      <c r="A62" s="15" t="s">
        <v>368</v>
      </c>
      <c r="B62" s="15" t="s">
        <v>79</v>
      </c>
      <c r="C62" s="15" t="n">
        <v>2.63</v>
      </c>
      <c r="D62" s="15" t="n">
        <v>0.153</v>
      </c>
      <c r="E62" s="15" t="n">
        <v>0</v>
      </c>
      <c r="F62" s="15" t="s">
        <v>466</v>
      </c>
    </row>
    <row r="63" customFormat="false" ht="15" hidden="false" customHeight="true" outlineLevel="0" collapsed="false">
      <c r="A63" s="15" t="s">
        <v>369</v>
      </c>
      <c r="B63" s="15" t="s">
        <v>79</v>
      </c>
      <c r="C63" s="15" t="n">
        <v>3.3</v>
      </c>
      <c r="D63" s="15" t="n">
        <v>0.19</v>
      </c>
      <c r="E63" s="15" t="n">
        <v>0</v>
      </c>
      <c r="F63" s="15" t="s">
        <v>466</v>
      </c>
    </row>
    <row r="64" customFormat="false" ht="15" hidden="false" customHeight="true" outlineLevel="0" collapsed="false">
      <c r="A64" s="15" t="s">
        <v>370</v>
      </c>
      <c r="B64" s="15" t="s">
        <v>79</v>
      </c>
      <c r="C64" s="15" t="n">
        <v>5.08</v>
      </c>
      <c r="D64" s="15" t="n">
        <v>0.24</v>
      </c>
      <c r="E64" s="15" t="n">
        <v>0</v>
      </c>
      <c r="F64" s="15" t="s">
        <v>466</v>
      </c>
    </row>
    <row r="65" customFormat="false" ht="15" hidden="false" customHeight="true" outlineLevel="0" collapsed="false">
      <c r="A65" s="15" t="s">
        <v>81</v>
      </c>
      <c r="B65" s="15" t="s">
        <v>79</v>
      </c>
      <c r="C65" s="15" t="n">
        <v>5.96</v>
      </c>
      <c r="D65" s="15" t="n">
        <v>0.28</v>
      </c>
      <c r="E65" s="15" t="n">
        <v>0</v>
      </c>
      <c r="F65" s="15" t="s">
        <v>466</v>
      </c>
    </row>
    <row r="66" customFormat="false" ht="15" hidden="false" customHeight="true" outlineLevel="0" collapsed="false">
      <c r="A66" s="15" t="s">
        <v>371</v>
      </c>
      <c r="B66" s="15" t="s">
        <v>79</v>
      </c>
      <c r="C66" s="15" t="n">
        <v>7.77</v>
      </c>
      <c r="D66" s="15" t="n">
        <v>0.319</v>
      </c>
      <c r="E66" s="15" t="n">
        <v>0</v>
      </c>
      <c r="F66" s="15" t="s">
        <v>466</v>
      </c>
    </row>
    <row r="67" customFormat="false" ht="15" hidden="false" customHeight="true" outlineLevel="0" collapsed="false">
      <c r="A67" s="15" t="s">
        <v>372</v>
      </c>
      <c r="B67" s="15" t="s">
        <v>79</v>
      </c>
      <c r="C67" s="15" t="n">
        <v>9.56</v>
      </c>
      <c r="D67" s="15" t="n">
        <v>0.359</v>
      </c>
      <c r="E67" s="15" t="n">
        <v>0</v>
      </c>
      <c r="F67" s="15" t="s">
        <v>466</v>
      </c>
    </row>
    <row r="68" customFormat="false" ht="15" hidden="false" customHeight="true" outlineLevel="0" collapsed="false">
      <c r="A68" s="15" t="s">
        <v>373</v>
      </c>
      <c r="B68" s="15" t="s">
        <v>79</v>
      </c>
      <c r="C68" s="15" t="n">
        <v>13.4</v>
      </c>
      <c r="D68" s="15" t="n">
        <v>0.439</v>
      </c>
      <c r="E68" s="15" t="n">
        <v>0</v>
      </c>
      <c r="F68" s="15" t="s">
        <v>466</v>
      </c>
    </row>
    <row r="69" customFormat="false" ht="15" hidden="false" customHeight="true" outlineLevel="0" collapsed="false">
      <c r="A69" s="15" t="s">
        <v>374</v>
      </c>
      <c r="B69" s="15" t="s">
        <v>79</v>
      </c>
      <c r="C69" s="15" t="n">
        <v>17.8</v>
      </c>
      <c r="D69" s="15" t="n">
        <v>0.519</v>
      </c>
      <c r="E69" s="15" t="n">
        <v>0</v>
      </c>
      <c r="F69" s="15" t="s">
        <v>466</v>
      </c>
    </row>
    <row r="70" customFormat="false" ht="15" hidden="false" customHeight="true" outlineLevel="0" collapsed="false">
      <c r="A70" s="15" t="s">
        <v>375</v>
      </c>
      <c r="B70" s="15" t="s">
        <v>79</v>
      </c>
      <c r="C70" s="15" t="n">
        <v>24.2</v>
      </c>
      <c r="D70" s="15" t="n">
        <v>0.599</v>
      </c>
      <c r="E70" s="15" t="n">
        <v>0</v>
      </c>
      <c r="F70" s="15" t="s">
        <v>466</v>
      </c>
    </row>
    <row r="71" customFormat="false" ht="15" hidden="false" customHeight="true" outlineLevel="0" collapsed="false">
      <c r="A71" s="15" t="s">
        <v>376</v>
      </c>
      <c r="B71" s="15" t="s">
        <v>79</v>
      </c>
      <c r="C71" s="15" t="n">
        <v>30.1</v>
      </c>
      <c r="D71" s="15" t="n">
        <v>0.679</v>
      </c>
      <c r="E71" s="15" t="n">
        <v>0</v>
      </c>
      <c r="F71" s="15" t="s">
        <v>466</v>
      </c>
    </row>
    <row r="72" customFormat="false" ht="15" hidden="false" customHeight="true" outlineLevel="0" collapsed="false">
      <c r="A72" s="15" t="s">
        <v>377</v>
      </c>
      <c r="B72" s="15" t="s">
        <v>79</v>
      </c>
      <c r="C72" s="15" t="n">
        <v>42.4</v>
      </c>
      <c r="D72" s="15" t="n">
        <v>0.84</v>
      </c>
      <c r="E72" s="15" t="n">
        <v>0</v>
      </c>
      <c r="F72" s="15" t="s">
        <v>466</v>
      </c>
    </row>
    <row r="73" customFormat="false" ht="15" hidden="false" customHeight="true" outlineLevel="0" collapsed="false">
      <c r="A73" s="15" t="s">
        <v>378</v>
      </c>
      <c r="B73" s="15" t="s">
        <v>79</v>
      </c>
      <c r="C73" s="15" t="n">
        <v>53</v>
      </c>
      <c r="D73" s="15" t="n">
        <v>1</v>
      </c>
      <c r="E73" s="15" t="n">
        <v>0</v>
      </c>
      <c r="F73" s="15" t="s">
        <v>466</v>
      </c>
    </row>
    <row r="74" customFormat="false" ht="15" hidden="false" customHeight="true" outlineLevel="0" collapsed="false">
      <c r="A74" s="15" t="s">
        <v>379</v>
      </c>
      <c r="B74" s="15" t="s">
        <v>79</v>
      </c>
      <c r="C74" s="15" t="n">
        <v>67.7</v>
      </c>
      <c r="D74" s="15" t="n">
        <v>1.117</v>
      </c>
      <c r="E74" s="15" t="n">
        <v>0</v>
      </c>
      <c r="F74" s="15" t="s">
        <v>466</v>
      </c>
    </row>
    <row r="75" customFormat="false" ht="15" hidden="false" customHeight="true" outlineLevel="0" collapsed="false">
      <c r="A75" s="15" t="s">
        <v>380</v>
      </c>
      <c r="B75" s="15" t="s">
        <v>79</v>
      </c>
      <c r="C75" s="15" t="n">
        <v>93</v>
      </c>
      <c r="D75" s="15" t="n">
        <v>1.277</v>
      </c>
      <c r="E75" s="15" t="n">
        <v>0</v>
      </c>
      <c r="F75" s="15" t="s">
        <v>466</v>
      </c>
    </row>
    <row r="76" customFormat="false" ht="15" hidden="false" customHeight="true" outlineLevel="0" collapsed="false">
      <c r="A76" s="15" t="s">
        <v>381</v>
      </c>
      <c r="B76" s="15" t="s">
        <v>79</v>
      </c>
      <c r="C76" s="15" t="n">
        <v>105</v>
      </c>
      <c r="D76" s="15" t="n">
        <v>1.436</v>
      </c>
      <c r="E76" s="15" t="n">
        <v>0</v>
      </c>
      <c r="F76" s="15" t="s">
        <v>466</v>
      </c>
    </row>
    <row r="77" customFormat="false" ht="15" hidden="false" customHeight="true" outlineLevel="0" collapsed="false">
      <c r="A77" s="15" t="s">
        <v>382</v>
      </c>
      <c r="B77" s="15" t="s">
        <v>79</v>
      </c>
      <c r="C77" s="15" t="n">
        <v>117</v>
      </c>
      <c r="D77" s="15" t="n">
        <v>1.595</v>
      </c>
      <c r="E77" s="15" t="n">
        <v>0</v>
      </c>
      <c r="F77" s="15" t="s">
        <v>466</v>
      </c>
    </row>
    <row r="78" customFormat="false" ht="15" hidden="false" customHeight="true" outlineLevel="0" collapsed="false">
      <c r="A78" s="15" t="s">
        <v>324</v>
      </c>
      <c r="B78" s="15" t="s">
        <v>62</v>
      </c>
      <c r="C78" s="15" t="n">
        <v>3.06</v>
      </c>
      <c r="D78" s="15" t="n">
        <v>0.19</v>
      </c>
      <c r="E78" s="15" t="n">
        <v>0</v>
      </c>
      <c r="F78" s="15" t="s">
        <v>466</v>
      </c>
    </row>
    <row r="79" customFormat="false" ht="15" hidden="false" customHeight="true" outlineLevel="0" collapsed="false">
      <c r="A79" s="15" t="s">
        <v>411</v>
      </c>
      <c r="B79" s="15" t="s">
        <v>62</v>
      </c>
      <c r="C79" s="15" t="n">
        <v>4.43</v>
      </c>
      <c r="D79" s="15" t="n">
        <v>0.19</v>
      </c>
      <c r="E79" s="15" t="n">
        <v>0</v>
      </c>
      <c r="F79" s="15" t="s">
        <v>466</v>
      </c>
    </row>
    <row r="80" customFormat="false" ht="15" hidden="false" customHeight="true" outlineLevel="0" collapsed="false">
      <c r="A80" s="15" t="s">
        <v>383</v>
      </c>
      <c r="B80" s="15" t="s">
        <v>62</v>
      </c>
      <c r="C80" s="15" t="n">
        <v>5.91</v>
      </c>
      <c r="D80" s="15" t="n">
        <v>0.25</v>
      </c>
      <c r="E80" s="15" t="n">
        <v>0</v>
      </c>
      <c r="F80" s="15" t="s">
        <v>466</v>
      </c>
    </row>
    <row r="81" customFormat="false" ht="15" hidden="false" customHeight="true" outlineLevel="0" collapsed="false">
      <c r="A81" s="15" t="s">
        <v>426</v>
      </c>
      <c r="B81" s="15" t="s">
        <v>62</v>
      </c>
      <c r="C81" s="15" t="n">
        <v>7.71</v>
      </c>
      <c r="D81" s="15" t="n">
        <v>0.25</v>
      </c>
      <c r="E81" s="15" t="n">
        <v>0</v>
      </c>
      <c r="F81" s="15" t="s">
        <v>466</v>
      </c>
    </row>
    <row r="82" customFormat="false" ht="15" hidden="false" customHeight="true" outlineLevel="0" collapsed="false">
      <c r="A82" s="15" t="s">
        <v>384</v>
      </c>
      <c r="B82" s="15" t="s">
        <v>62</v>
      </c>
      <c r="C82" s="15" t="n">
        <v>6.85</v>
      </c>
      <c r="D82" s="15" t="n">
        <v>0.29</v>
      </c>
      <c r="E82" s="15" t="n">
        <v>0</v>
      </c>
      <c r="F82" s="15" t="s">
        <v>466</v>
      </c>
    </row>
    <row r="83" customFormat="false" ht="15" hidden="false" customHeight="true" outlineLevel="0" collapsed="false">
      <c r="A83" s="15" t="s">
        <v>427</v>
      </c>
      <c r="B83" s="15" t="s">
        <v>62</v>
      </c>
      <c r="C83" s="15" t="n">
        <v>9.96</v>
      </c>
      <c r="D83" s="15" t="n">
        <v>0.29</v>
      </c>
      <c r="E83" s="15" t="n">
        <v>0</v>
      </c>
      <c r="F83" s="15" t="s">
        <v>466</v>
      </c>
    </row>
    <row r="84" customFormat="false" ht="15" hidden="false" customHeight="true" outlineLevel="0" collapsed="false">
      <c r="A84" s="15" t="s">
        <v>385</v>
      </c>
      <c r="B84" s="15" t="s">
        <v>62</v>
      </c>
      <c r="C84" s="15" t="n">
        <v>9.6</v>
      </c>
      <c r="D84" s="15" t="n">
        <v>0.35</v>
      </c>
      <c r="E84" s="15" t="n">
        <v>0</v>
      </c>
      <c r="F84" s="15" t="s">
        <v>466</v>
      </c>
    </row>
    <row r="85" customFormat="false" ht="15" hidden="false" customHeight="true" outlineLevel="0" collapsed="false">
      <c r="A85" s="15" t="s">
        <v>428</v>
      </c>
      <c r="B85" s="15" t="s">
        <v>62</v>
      </c>
      <c r="C85" s="15" t="n">
        <v>13.3</v>
      </c>
      <c r="D85" s="15" t="n">
        <v>0.35</v>
      </c>
      <c r="E85" s="15" t="n">
        <v>0</v>
      </c>
      <c r="F85" s="15" t="s">
        <v>466</v>
      </c>
    </row>
    <row r="86" customFormat="false" ht="15" hidden="false" customHeight="true" outlineLevel="0" collapsed="false">
      <c r="A86" s="15" t="s">
        <v>386</v>
      </c>
      <c r="B86" s="15" t="s">
        <v>62</v>
      </c>
      <c r="C86" s="15" t="n">
        <v>10.7</v>
      </c>
      <c r="D86" s="15" t="n">
        <v>0.39</v>
      </c>
      <c r="E86" s="15" t="n">
        <v>0</v>
      </c>
      <c r="F86" s="15" t="s">
        <v>466</v>
      </c>
    </row>
    <row r="87" customFormat="false" ht="15" hidden="false" customHeight="true" outlineLevel="0" collapsed="false">
      <c r="A87" s="15" t="s">
        <v>64</v>
      </c>
      <c r="B87" s="15" t="s">
        <v>62</v>
      </c>
      <c r="C87" s="15" t="n">
        <v>14.9</v>
      </c>
      <c r="D87" s="15" t="n">
        <v>0.39</v>
      </c>
      <c r="E87" s="15" t="n">
        <v>0</v>
      </c>
      <c r="F87" s="15" t="s">
        <v>466</v>
      </c>
    </row>
    <row r="88" customFormat="false" ht="15" hidden="false" customHeight="true" outlineLevel="0" collapsed="false">
      <c r="A88" s="15" t="s">
        <v>441</v>
      </c>
      <c r="B88" s="15" t="s">
        <v>62</v>
      </c>
      <c r="C88" s="15" t="n">
        <v>18.9</v>
      </c>
      <c r="D88" s="15" t="n">
        <v>0.39</v>
      </c>
      <c r="E88" s="15" t="n">
        <v>0</v>
      </c>
      <c r="F88" s="15" t="s">
        <v>466</v>
      </c>
    </row>
    <row r="89" customFormat="false" ht="15" hidden="false" customHeight="true" outlineLevel="0" collapsed="false">
      <c r="A89" s="15" t="s">
        <v>387</v>
      </c>
      <c r="B89" s="15" t="s">
        <v>62</v>
      </c>
      <c r="C89" s="15" t="n">
        <v>18.9</v>
      </c>
      <c r="D89" s="15" t="n">
        <v>0.49</v>
      </c>
      <c r="E89" s="15" t="n">
        <v>0</v>
      </c>
      <c r="F89" s="15" t="s">
        <v>466</v>
      </c>
    </row>
    <row r="90" customFormat="false" ht="15" hidden="false" customHeight="true" outlineLevel="0" collapsed="false">
      <c r="A90" s="15" t="s">
        <v>388</v>
      </c>
      <c r="B90" s="15" t="s">
        <v>62</v>
      </c>
      <c r="C90" s="15" t="n">
        <v>23.6</v>
      </c>
      <c r="D90" s="15" t="n">
        <v>0.5</v>
      </c>
      <c r="E90" s="15" t="n">
        <v>0</v>
      </c>
      <c r="F90" s="15" t="s">
        <v>466</v>
      </c>
    </row>
    <row r="91" customFormat="false" ht="15" hidden="false" customHeight="true" outlineLevel="0" collapsed="false">
      <c r="A91" s="15" t="s">
        <v>389</v>
      </c>
      <c r="B91" s="15" t="s">
        <v>62</v>
      </c>
      <c r="C91" s="15" t="n">
        <v>27.3</v>
      </c>
      <c r="D91" s="15" t="n">
        <v>0.58</v>
      </c>
      <c r="E91" s="15" t="n">
        <v>0</v>
      </c>
      <c r="F91" s="15" t="s">
        <v>466</v>
      </c>
    </row>
    <row r="92" customFormat="false" ht="15" hidden="false" customHeight="true" outlineLevel="0" collapsed="false">
      <c r="A92" s="15" t="s">
        <v>429</v>
      </c>
      <c r="B92" s="15" t="s">
        <v>62</v>
      </c>
      <c r="C92" s="15" t="n">
        <v>33.6</v>
      </c>
      <c r="D92" s="15" t="n">
        <v>0.58</v>
      </c>
      <c r="E92" s="15" t="n">
        <v>0</v>
      </c>
      <c r="F92" s="15" t="s">
        <v>466</v>
      </c>
    </row>
    <row r="93" customFormat="false" ht="15" hidden="false" customHeight="true" outlineLevel="0" collapsed="false">
      <c r="A93" s="15" t="s">
        <v>390</v>
      </c>
      <c r="B93" s="15" t="s">
        <v>62</v>
      </c>
      <c r="C93" s="15" t="n">
        <v>45.3</v>
      </c>
      <c r="D93" s="15" t="n">
        <v>0.78</v>
      </c>
      <c r="E93" s="15" t="n">
        <v>0</v>
      </c>
      <c r="F93" s="15" t="s">
        <v>466</v>
      </c>
    </row>
    <row r="94" customFormat="false" ht="15" hidden="false" customHeight="true" outlineLevel="0" collapsed="false">
      <c r="A94" s="15" t="s">
        <v>430</v>
      </c>
      <c r="B94" s="15" t="s">
        <v>62</v>
      </c>
      <c r="C94" s="15" t="n">
        <v>59</v>
      </c>
      <c r="D94" s="15" t="n">
        <v>0.78</v>
      </c>
      <c r="E94" s="15" t="n">
        <v>0</v>
      </c>
      <c r="F94" s="15" t="s">
        <v>466</v>
      </c>
    </row>
    <row r="95" customFormat="false" ht="15" hidden="false" customHeight="true" outlineLevel="0" collapsed="false">
      <c r="A95" s="15" t="s">
        <v>325</v>
      </c>
      <c r="B95" s="15" t="s">
        <v>58</v>
      </c>
      <c r="C95" s="15" t="n">
        <v>9.43</v>
      </c>
      <c r="D95" s="15" t="n">
        <v>0.4</v>
      </c>
      <c r="E95" s="15" t="n">
        <v>100</v>
      </c>
      <c r="F95" s="15" t="s">
        <v>466</v>
      </c>
    </row>
    <row r="96" customFormat="false" ht="15" hidden="false" customHeight="true" outlineLevel="0" collapsed="false">
      <c r="A96" s="15" t="s">
        <v>412</v>
      </c>
      <c r="B96" s="15" t="s">
        <v>58</v>
      </c>
      <c r="C96" s="15" t="n">
        <v>12.9</v>
      </c>
      <c r="D96" s="15" t="n">
        <v>0.4</v>
      </c>
      <c r="E96" s="15" t="n">
        <v>100</v>
      </c>
      <c r="F96" s="15" t="s">
        <v>466</v>
      </c>
    </row>
    <row r="97" customFormat="false" ht="15" hidden="false" customHeight="true" outlineLevel="0" collapsed="false">
      <c r="A97" s="15" t="s">
        <v>439</v>
      </c>
      <c r="B97" s="15" t="s">
        <v>58</v>
      </c>
      <c r="C97" s="15" t="n">
        <v>16.8</v>
      </c>
      <c r="D97" s="15" t="n">
        <v>0.4</v>
      </c>
      <c r="E97" s="15" t="n">
        <v>100</v>
      </c>
      <c r="F97" s="15" t="s">
        <v>466</v>
      </c>
    </row>
    <row r="98" customFormat="false" ht="15" hidden="false" customHeight="true" outlineLevel="0" collapsed="false">
      <c r="A98" s="15" t="s">
        <v>391</v>
      </c>
      <c r="B98" s="15" t="s">
        <v>58</v>
      </c>
      <c r="C98" s="15" t="n">
        <v>16.4</v>
      </c>
      <c r="D98" s="15" t="n">
        <v>0.5</v>
      </c>
      <c r="E98" s="15" t="n">
        <v>125</v>
      </c>
      <c r="F98" s="15" t="s">
        <v>466</v>
      </c>
    </row>
    <row r="99" customFormat="false" ht="15" hidden="false" customHeight="true" outlineLevel="0" collapsed="false">
      <c r="A99" s="15" t="s">
        <v>431</v>
      </c>
      <c r="B99" s="15" t="s">
        <v>58</v>
      </c>
      <c r="C99" s="15" t="n">
        <v>21.3</v>
      </c>
      <c r="D99" s="15" t="n">
        <v>0.5</v>
      </c>
      <c r="E99" s="15" t="n">
        <v>125</v>
      </c>
      <c r="F99" s="15" t="s">
        <v>466</v>
      </c>
    </row>
    <row r="100" customFormat="false" ht="15" hidden="false" customHeight="true" outlineLevel="0" collapsed="false">
      <c r="A100" s="15" t="s">
        <v>392</v>
      </c>
      <c r="B100" s="15" t="s">
        <v>58</v>
      </c>
      <c r="C100" s="15" t="n">
        <v>19.8</v>
      </c>
      <c r="D100" s="15" t="n">
        <v>0.6</v>
      </c>
      <c r="E100" s="15" t="n">
        <v>150</v>
      </c>
      <c r="F100" s="15" t="s">
        <v>466</v>
      </c>
    </row>
    <row r="101" customFormat="false" ht="15" hidden="false" customHeight="true" outlineLevel="0" collapsed="false">
      <c r="A101" s="15" t="s">
        <v>432</v>
      </c>
      <c r="B101" s="15" t="s">
        <v>58</v>
      </c>
      <c r="C101" s="15" t="n">
        <v>25.9</v>
      </c>
      <c r="D101" s="15" t="n">
        <v>0.6</v>
      </c>
      <c r="E101" s="15" t="n">
        <v>150</v>
      </c>
      <c r="F101" s="15" t="s">
        <v>466</v>
      </c>
    </row>
    <row r="102" customFormat="false" ht="15" hidden="false" customHeight="true" outlineLevel="0" collapsed="false">
      <c r="A102" s="15" t="s">
        <v>442</v>
      </c>
      <c r="B102" s="15" t="s">
        <v>58</v>
      </c>
      <c r="C102" s="15" t="n">
        <v>37.1</v>
      </c>
      <c r="D102" s="15" t="n">
        <v>0.6</v>
      </c>
      <c r="E102" s="15" t="n">
        <v>150</v>
      </c>
      <c r="F102" s="15" t="s">
        <v>466</v>
      </c>
    </row>
    <row r="103" customFormat="false" ht="15" hidden="false" customHeight="true" outlineLevel="0" collapsed="false">
      <c r="A103" s="15" t="s">
        <v>393</v>
      </c>
      <c r="B103" s="15" t="s">
        <v>58</v>
      </c>
      <c r="C103" s="15" t="n">
        <v>34.9</v>
      </c>
      <c r="D103" s="15" t="n">
        <v>0.8</v>
      </c>
      <c r="E103" s="15" t="n">
        <v>200</v>
      </c>
      <c r="F103" s="15" t="s">
        <v>466</v>
      </c>
    </row>
    <row r="104" customFormat="false" ht="15" hidden="false" customHeight="true" outlineLevel="0" collapsed="false">
      <c r="A104" s="15" t="s">
        <v>433</v>
      </c>
      <c r="B104" s="15" t="s">
        <v>58</v>
      </c>
      <c r="C104" s="15" t="n">
        <v>45.5</v>
      </c>
      <c r="D104" s="15" t="n">
        <v>0.8</v>
      </c>
      <c r="E104" s="15" t="n">
        <v>200</v>
      </c>
      <c r="F104" s="15" t="s">
        <v>466</v>
      </c>
    </row>
    <row r="105" customFormat="false" ht="15" hidden="false" customHeight="true" outlineLevel="0" collapsed="false">
      <c r="A105" s="15" t="s">
        <v>443</v>
      </c>
      <c r="B105" s="15" t="s">
        <v>58</v>
      </c>
      <c r="C105" s="15" t="n">
        <v>50.5</v>
      </c>
      <c r="D105" s="15" t="n">
        <v>0.8</v>
      </c>
      <c r="E105" s="15" t="n">
        <v>200</v>
      </c>
      <c r="F105" s="15" t="s">
        <v>466</v>
      </c>
    </row>
    <row r="106" customFormat="false" ht="15" hidden="false" customHeight="true" outlineLevel="0" collapsed="false">
      <c r="A106" s="15" t="s">
        <v>449</v>
      </c>
      <c r="B106" s="15" t="s">
        <v>58</v>
      </c>
      <c r="C106" s="15" t="n">
        <v>64.9</v>
      </c>
      <c r="D106" s="15" t="n">
        <v>0.8</v>
      </c>
      <c r="E106" s="15" t="n">
        <v>200</v>
      </c>
      <c r="F106" s="15" t="s">
        <v>466</v>
      </c>
    </row>
    <row r="107" customFormat="false" ht="15" hidden="false" customHeight="true" outlineLevel="0" collapsed="false">
      <c r="A107" s="15" t="s">
        <v>394</v>
      </c>
      <c r="B107" s="15" t="s">
        <v>58</v>
      </c>
      <c r="C107" s="15" t="n">
        <v>43.9</v>
      </c>
      <c r="D107" s="15" t="n">
        <v>1</v>
      </c>
      <c r="E107" s="15" t="n">
        <v>250</v>
      </c>
      <c r="F107" s="15" t="s">
        <v>466</v>
      </c>
    </row>
    <row r="108" customFormat="false" ht="15" hidden="false" customHeight="true" outlineLevel="0" collapsed="false">
      <c r="A108" s="15" t="s">
        <v>434</v>
      </c>
      <c r="B108" s="15" t="s">
        <v>58</v>
      </c>
      <c r="C108" s="15" t="n">
        <v>63.9</v>
      </c>
      <c r="D108" s="15" t="n">
        <v>1</v>
      </c>
      <c r="E108" s="15" t="n">
        <v>250</v>
      </c>
      <c r="F108" s="15" t="s">
        <v>466</v>
      </c>
    </row>
    <row r="109" customFormat="false" ht="15" hidden="false" customHeight="true" outlineLevel="0" collapsed="false">
      <c r="A109" s="15" t="s">
        <v>444</v>
      </c>
      <c r="B109" s="15" t="s">
        <v>58</v>
      </c>
      <c r="C109" s="15" t="n">
        <v>82.9</v>
      </c>
      <c r="D109" s="15" t="n">
        <v>1</v>
      </c>
      <c r="E109" s="15" t="n">
        <v>250</v>
      </c>
      <c r="F109" s="15" t="s">
        <v>466</v>
      </c>
    </row>
    <row r="110" customFormat="false" ht="15" hidden="false" customHeight="true" outlineLevel="0" collapsed="false">
      <c r="A110" s="15" t="s">
        <v>395</v>
      </c>
      <c r="B110" s="15" t="s">
        <v>58</v>
      </c>
      <c r="C110" s="15" t="n">
        <v>77.3</v>
      </c>
      <c r="D110" s="15" t="n">
        <v>1.2</v>
      </c>
      <c r="E110" s="15" t="n">
        <v>300</v>
      </c>
      <c r="F110" s="15" t="s">
        <v>466</v>
      </c>
    </row>
    <row r="111" customFormat="false" ht="15" hidden="false" customHeight="true" outlineLevel="0" collapsed="false">
      <c r="A111" s="15" t="s">
        <v>435</v>
      </c>
      <c r="B111" s="15" t="s">
        <v>58</v>
      </c>
      <c r="C111" s="15" t="n">
        <v>101</v>
      </c>
      <c r="D111" s="15" t="n">
        <v>1.2</v>
      </c>
      <c r="E111" s="15" t="n">
        <v>300</v>
      </c>
      <c r="F111" s="15" t="s">
        <v>466</v>
      </c>
    </row>
    <row r="112" customFormat="false" ht="15" hidden="false" customHeight="true" outlineLevel="0" collapsed="false">
      <c r="A112" s="15" t="s">
        <v>445</v>
      </c>
      <c r="B112" s="15" t="s">
        <v>58</v>
      </c>
      <c r="C112" s="15" t="n">
        <v>131</v>
      </c>
      <c r="D112" s="15" t="n">
        <v>1.2</v>
      </c>
      <c r="E112" s="15" t="n">
        <v>300</v>
      </c>
      <c r="F112" s="15" t="s">
        <v>466</v>
      </c>
    </row>
    <row r="113" customFormat="false" ht="15" hidden="false" customHeight="true" outlineLevel="0" collapsed="false">
      <c r="A113" s="15" t="s">
        <v>396</v>
      </c>
      <c r="B113" s="15" t="s">
        <v>58</v>
      </c>
      <c r="C113" s="15" t="n">
        <v>119</v>
      </c>
      <c r="D113" s="15" t="n">
        <v>1.4</v>
      </c>
      <c r="E113" s="15" t="n">
        <v>350</v>
      </c>
      <c r="F113" s="15" t="s">
        <v>466</v>
      </c>
    </row>
    <row r="114" customFormat="false" ht="15" hidden="false" customHeight="true" outlineLevel="0" collapsed="false">
      <c r="A114" s="15" t="s">
        <v>436</v>
      </c>
      <c r="B114" s="15" t="s">
        <v>58</v>
      </c>
      <c r="C114" s="15" t="n">
        <v>155</v>
      </c>
      <c r="D114" s="15" t="n">
        <v>1.4</v>
      </c>
      <c r="E114" s="15" t="n">
        <v>350</v>
      </c>
      <c r="F114" s="15" t="s">
        <v>466</v>
      </c>
    </row>
    <row r="115" customFormat="false" ht="15" hidden="false" customHeight="true" outlineLevel="0" collapsed="false">
      <c r="A115" s="15" t="s">
        <v>397</v>
      </c>
      <c r="B115" s="15" t="s">
        <v>58</v>
      </c>
      <c r="C115" s="15" t="n">
        <v>137</v>
      </c>
      <c r="D115" s="15" t="n">
        <v>1.6</v>
      </c>
      <c r="E115" s="15" t="n">
        <v>400</v>
      </c>
      <c r="F115" s="15" t="s">
        <v>466</v>
      </c>
    </row>
    <row r="116" customFormat="false" ht="15" hidden="false" customHeight="true" outlineLevel="0" collapsed="false">
      <c r="A116" s="15" t="s">
        <v>437</v>
      </c>
      <c r="B116" s="15" t="s">
        <v>58</v>
      </c>
      <c r="C116" s="15" t="n">
        <v>179</v>
      </c>
      <c r="D116" s="15" t="n">
        <v>1.6</v>
      </c>
      <c r="E116" s="15" t="n">
        <v>400</v>
      </c>
      <c r="F116" s="15" t="s">
        <v>466</v>
      </c>
    </row>
    <row r="117" customFormat="false" ht="15" hidden="false" customHeight="true" outlineLevel="0" collapsed="false">
      <c r="A117" s="15" t="s">
        <v>60</v>
      </c>
      <c r="B117" s="15" t="s">
        <v>58</v>
      </c>
      <c r="C117" s="15" t="n">
        <v>210</v>
      </c>
      <c r="D117" s="15" t="n">
        <v>1.6</v>
      </c>
      <c r="E117" s="15" t="n">
        <v>400</v>
      </c>
      <c r="F117" s="15" t="s">
        <v>466</v>
      </c>
    </row>
    <row r="118" customFormat="false" ht="15" hidden="false" customHeight="true" outlineLevel="0" collapsed="false">
      <c r="A118" s="15" t="s">
        <v>450</v>
      </c>
      <c r="B118" s="15" t="s">
        <v>58</v>
      </c>
      <c r="C118" s="15" t="n">
        <v>239</v>
      </c>
      <c r="D118" s="15" t="n">
        <v>1.6</v>
      </c>
      <c r="E118" s="15" t="n">
        <v>400</v>
      </c>
      <c r="F118" s="15" t="s">
        <v>466</v>
      </c>
    </row>
    <row r="119" customFormat="false" ht="15" hidden="false" customHeight="true" outlineLevel="0" collapsed="false">
      <c r="A119" s="15" t="s">
        <v>398</v>
      </c>
      <c r="B119" s="15" t="s">
        <v>58</v>
      </c>
      <c r="C119" s="15" t="n">
        <v>227</v>
      </c>
      <c r="D119" s="15" t="n">
        <v>2</v>
      </c>
      <c r="E119" s="15" t="n">
        <v>500</v>
      </c>
      <c r="F119" s="15" t="s">
        <v>466</v>
      </c>
    </row>
    <row r="120" customFormat="false" ht="15" hidden="false" customHeight="true" outlineLevel="0" collapsed="false">
      <c r="A120" s="15" t="s">
        <v>71</v>
      </c>
      <c r="B120" s="15" t="s">
        <v>58</v>
      </c>
      <c r="C120" s="15" t="n">
        <v>267</v>
      </c>
      <c r="D120" s="15" t="n">
        <v>2</v>
      </c>
      <c r="E120" s="15" t="n">
        <v>500</v>
      </c>
      <c r="F120" s="15" t="s">
        <v>466</v>
      </c>
    </row>
    <row r="121" customFormat="false" ht="15" hidden="false" customHeight="true" outlineLevel="0" collapsed="false">
      <c r="A121" s="15" t="s">
        <v>446</v>
      </c>
      <c r="B121" s="15" t="s">
        <v>58</v>
      </c>
      <c r="C121" s="15" t="n">
        <v>305</v>
      </c>
      <c r="D121" s="15" t="n">
        <v>2</v>
      </c>
      <c r="E121" s="15" t="n">
        <v>500</v>
      </c>
      <c r="F121" s="15" t="s">
        <v>466</v>
      </c>
    </row>
    <row r="122" customFormat="false" ht="15" hidden="false" customHeight="true" outlineLevel="0" collapsed="false">
      <c r="A122" s="15" t="s">
        <v>399</v>
      </c>
      <c r="B122" s="15" t="s">
        <v>58</v>
      </c>
      <c r="C122" s="15" t="n">
        <v>323</v>
      </c>
      <c r="D122" s="15" t="n">
        <v>2.4</v>
      </c>
      <c r="E122" s="15" t="n">
        <v>600</v>
      </c>
      <c r="F122" s="15" t="s">
        <v>466</v>
      </c>
    </row>
    <row r="123" customFormat="false" ht="15" hidden="false" customHeight="true" outlineLevel="0" collapsed="false">
      <c r="A123" s="15" t="s">
        <v>438</v>
      </c>
      <c r="B123" s="15" t="s">
        <v>58</v>
      </c>
      <c r="C123" s="15" t="n">
        <v>371</v>
      </c>
      <c r="D123" s="15" t="n">
        <v>2.4</v>
      </c>
      <c r="E123" s="15" t="n">
        <v>600</v>
      </c>
      <c r="F123" s="15" t="s">
        <v>466</v>
      </c>
    </row>
    <row r="124" customFormat="false" ht="15" hidden="false" customHeight="true" outlineLevel="0" collapsed="false">
      <c r="A124" s="15" t="s">
        <v>467</v>
      </c>
      <c r="B124" s="15" t="s">
        <v>133</v>
      </c>
      <c r="C124" s="15" t="n">
        <v>32</v>
      </c>
      <c r="D124" s="15" t="n">
        <v>0</v>
      </c>
      <c r="E124" s="15" t="n">
        <v>0</v>
      </c>
      <c r="F124" s="15" t="s">
        <v>468</v>
      </c>
    </row>
    <row r="125" customFormat="false" ht="15" hidden="false" customHeight="true" outlineLevel="0" collapsed="false">
      <c r="A125" s="15" t="s">
        <v>469</v>
      </c>
      <c r="B125" s="15" t="s">
        <v>133</v>
      </c>
      <c r="C125" s="15" t="n">
        <v>126.7</v>
      </c>
      <c r="D125" s="15" t="n">
        <v>0</v>
      </c>
      <c r="E125" s="15" t="n">
        <v>0</v>
      </c>
      <c r="F125" s="15" t="s">
        <v>468</v>
      </c>
    </row>
    <row r="126" customFormat="false" ht="15" hidden="false" customHeight="true" outlineLevel="0" collapsed="false">
      <c r="A126" s="15" t="s">
        <v>470</v>
      </c>
      <c r="B126" s="15" t="s">
        <v>133</v>
      </c>
      <c r="C126" s="15" t="n">
        <v>144.6</v>
      </c>
      <c r="D126" s="15" t="n">
        <v>0</v>
      </c>
      <c r="E126" s="15" t="n">
        <v>0</v>
      </c>
      <c r="F126" s="15" t="s">
        <v>468</v>
      </c>
    </row>
    <row r="127" customFormat="false" ht="15" hidden="false" customHeight="true" outlineLevel="0" collapsed="false">
      <c r="A127" s="15" t="s">
        <v>471</v>
      </c>
      <c r="B127" s="15" t="s">
        <v>133</v>
      </c>
      <c r="C127" s="15" t="n">
        <v>153.2</v>
      </c>
      <c r="D127" s="15" t="n">
        <v>0</v>
      </c>
      <c r="E127" s="15" t="n">
        <v>0</v>
      </c>
      <c r="F127" s="15" t="s">
        <v>468</v>
      </c>
    </row>
    <row r="128" customFormat="false" ht="15" hidden="false" customHeight="true" outlineLevel="0" collapsed="false">
      <c r="A128" s="15" t="s">
        <v>472</v>
      </c>
      <c r="B128" s="15" t="s">
        <v>133</v>
      </c>
      <c r="C128" s="15" t="n">
        <v>175.5</v>
      </c>
      <c r="D128" s="15" t="n">
        <v>0</v>
      </c>
      <c r="E128" s="15" t="n">
        <v>0</v>
      </c>
      <c r="F128" s="15" t="s">
        <v>468</v>
      </c>
    </row>
    <row r="129" customFormat="false" ht="15" hidden="false" customHeight="true" outlineLevel="0" collapsed="false">
      <c r="A129" s="15" t="s">
        <v>327</v>
      </c>
      <c r="B129" s="15" t="s">
        <v>145</v>
      </c>
      <c r="C129" s="15" t="n">
        <v>27.3</v>
      </c>
      <c r="D129" s="15" t="n">
        <v>0</v>
      </c>
      <c r="E129" s="15" t="n">
        <v>0</v>
      </c>
      <c r="F129" s="15" t="s">
        <v>468</v>
      </c>
    </row>
    <row r="130" customFormat="false" ht="15" hidden="false" customHeight="true" outlineLevel="0" collapsed="false">
      <c r="A130" s="15" t="s">
        <v>413</v>
      </c>
      <c r="B130" s="15" t="s">
        <v>145</v>
      </c>
      <c r="C130" s="15" t="n">
        <v>37.5</v>
      </c>
      <c r="D130" s="15" t="n">
        <v>0</v>
      </c>
      <c r="E130" s="15" t="n">
        <v>0</v>
      </c>
      <c r="F130" s="15" t="s">
        <v>468</v>
      </c>
    </row>
    <row r="131" customFormat="false" ht="15" hidden="false" customHeight="true" outlineLevel="0" collapsed="false">
      <c r="A131" s="15" t="s">
        <v>146</v>
      </c>
      <c r="B131" s="15" t="s">
        <v>145</v>
      </c>
      <c r="C131" s="15" t="n">
        <v>49.3</v>
      </c>
      <c r="D131" s="15" t="n">
        <v>0</v>
      </c>
      <c r="E131" s="15" t="n">
        <v>0</v>
      </c>
      <c r="F131" s="15" t="s">
        <v>468</v>
      </c>
    </row>
    <row r="132" customFormat="false" ht="15" hidden="false" customHeight="true" outlineLevel="0" collapsed="false">
      <c r="A132" s="15" t="s">
        <v>447</v>
      </c>
      <c r="B132" s="15" t="s">
        <v>145</v>
      </c>
      <c r="C132" s="15" t="n">
        <v>65</v>
      </c>
      <c r="D132" s="15" t="n">
        <v>0</v>
      </c>
      <c r="E132" s="15" t="n">
        <v>0</v>
      </c>
      <c r="F132" s="15" t="s">
        <v>468</v>
      </c>
    </row>
    <row r="133" customFormat="false" ht="15" hidden="false" customHeight="true" outlineLevel="0" collapsed="false">
      <c r="A133" s="15" t="s">
        <v>451</v>
      </c>
      <c r="B133" s="15" t="s">
        <v>145</v>
      </c>
      <c r="C133" s="15" t="n">
        <v>72.8</v>
      </c>
      <c r="D133" s="15" t="n">
        <v>0</v>
      </c>
      <c r="E133" s="15" t="n">
        <v>0</v>
      </c>
      <c r="F133" s="15" t="s">
        <v>468</v>
      </c>
    </row>
    <row r="134" customFormat="false" ht="15" hidden="false" customHeight="true" outlineLevel="0" collapsed="false">
      <c r="A134" s="15" t="s">
        <v>453</v>
      </c>
      <c r="B134" s="15" t="s">
        <v>145</v>
      </c>
      <c r="C134" s="15" t="n">
        <v>80.5</v>
      </c>
      <c r="D134" s="15" t="n">
        <v>0</v>
      </c>
      <c r="E134" s="15" t="n">
        <v>0</v>
      </c>
      <c r="F134" s="15" t="s">
        <v>468</v>
      </c>
    </row>
    <row r="135" customFormat="false" ht="15" hidden="false" customHeight="true" outlineLevel="0" collapsed="false">
      <c r="A135" s="15" t="s">
        <v>455</v>
      </c>
      <c r="B135" s="15" t="s">
        <v>145</v>
      </c>
      <c r="C135" s="15" t="n">
        <v>96</v>
      </c>
      <c r="D135" s="15" t="n">
        <v>0</v>
      </c>
      <c r="E135" s="15" t="n">
        <v>0</v>
      </c>
      <c r="F135" s="15" t="s">
        <v>468</v>
      </c>
    </row>
    <row r="136" customFormat="false" ht="15" hidden="false" customHeight="true" outlineLevel="0" collapsed="false">
      <c r="A136" s="15" t="s">
        <v>328</v>
      </c>
      <c r="B136" s="15" t="s">
        <v>136</v>
      </c>
      <c r="C136" s="15" t="n">
        <v>25.1</v>
      </c>
      <c r="D136" s="15" t="n">
        <v>0</v>
      </c>
      <c r="E136" s="15" t="n">
        <v>0</v>
      </c>
      <c r="F136" s="15" t="s">
        <v>468</v>
      </c>
    </row>
    <row r="137" customFormat="false" ht="15" hidden="false" customHeight="true" outlineLevel="0" collapsed="false">
      <c r="A137" s="15" t="s">
        <v>414</v>
      </c>
      <c r="B137" s="15" t="s">
        <v>136</v>
      </c>
      <c r="C137" s="15" t="n">
        <v>35.3</v>
      </c>
      <c r="D137" s="15" t="n">
        <v>0</v>
      </c>
      <c r="E137" s="15" t="n">
        <v>0</v>
      </c>
      <c r="F137" s="15" t="s">
        <v>468</v>
      </c>
    </row>
    <row r="138" customFormat="false" ht="15" hidden="false" customHeight="true" outlineLevel="0" collapsed="false">
      <c r="A138" s="15" t="s">
        <v>137</v>
      </c>
      <c r="B138" s="15" t="s">
        <v>136</v>
      </c>
      <c r="C138" s="15" t="n">
        <v>47.1</v>
      </c>
      <c r="D138" s="15" t="n">
        <v>0</v>
      </c>
      <c r="E138" s="15" t="n">
        <v>0</v>
      </c>
      <c r="F138" s="15" t="s">
        <v>468</v>
      </c>
    </row>
    <row r="139" customFormat="false" ht="15" hidden="false" customHeight="true" outlineLevel="0" collapsed="false">
      <c r="A139" s="15" t="s">
        <v>448</v>
      </c>
      <c r="B139" s="15" t="s">
        <v>136</v>
      </c>
      <c r="C139" s="15" t="n">
        <v>62.8</v>
      </c>
      <c r="D139" s="15" t="n">
        <v>0</v>
      </c>
      <c r="E139" s="15" t="n">
        <v>0</v>
      </c>
      <c r="F139" s="15" t="s">
        <v>468</v>
      </c>
    </row>
    <row r="140" customFormat="false" ht="15" hidden="false" customHeight="true" outlineLevel="0" collapsed="false">
      <c r="A140" s="15" t="s">
        <v>452</v>
      </c>
      <c r="B140" s="15" t="s">
        <v>136</v>
      </c>
      <c r="C140" s="15" t="n">
        <v>70.7</v>
      </c>
      <c r="D140" s="15" t="n">
        <v>0</v>
      </c>
      <c r="E140" s="15" t="n">
        <v>0</v>
      </c>
      <c r="F140" s="15" t="s">
        <v>468</v>
      </c>
    </row>
    <row r="141" customFormat="false" ht="15" hidden="false" customHeight="true" outlineLevel="0" collapsed="false">
      <c r="A141" s="15" t="s">
        <v>454</v>
      </c>
      <c r="B141" s="15" t="s">
        <v>136</v>
      </c>
      <c r="C141" s="15" t="n">
        <v>78.5</v>
      </c>
      <c r="D141" s="15" t="n">
        <v>0</v>
      </c>
      <c r="E141" s="15" t="n">
        <v>0</v>
      </c>
      <c r="F141" s="15" t="s">
        <v>468</v>
      </c>
    </row>
    <row r="142" customFormat="false" ht="15" hidden="false" customHeight="true" outlineLevel="0" collapsed="false">
      <c r="A142" s="15" t="s">
        <v>456</v>
      </c>
      <c r="B142" s="15" t="s">
        <v>136</v>
      </c>
      <c r="C142" s="15" t="n">
        <v>94.2</v>
      </c>
      <c r="D142" s="15" t="n">
        <v>0</v>
      </c>
      <c r="E142" s="15" t="n">
        <v>0</v>
      </c>
      <c r="F142" s="15" t="s">
        <v>468</v>
      </c>
    </row>
    <row r="143" customFormat="false" ht="15" hidden="false" customHeight="true" outlineLevel="0" collapsed="false">
      <c r="A143" s="15" t="s">
        <v>457</v>
      </c>
      <c r="B143" s="15" t="s">
        <v>136</v>
      </c>
      <c r="C143" s="15" t="n">
        <v>109.9</v>
      </c>
      <c r="D143" s="15" t="n">
        <v>0</v>
      </c>
      <c r="E143" s="15" t="n">
        <v>0</v>
      </c>
      <c r="F143" s="15" t="s">
        <v>468</v>
      </c>
    </row>
    <row r="144" customFormat="false" ht="15" hidden="false" customHeight="true" outlineLevel="0" collapsed="false">
      <c r="A144" s="15" t="s">
        <v>458</v>
      </c>
      <c r="B144" s="15" t="s">
        <v>136</v>
      </c>
      <c r="C144" s="15" t="n">
        <v>125.6</v>
      </c>
      <c r="D144" s="15" t="n">
        <v>0</v>
      </c>
      <c r="E144" s="15" t="n">
        <v>0</v>
      </c>
      <c r="F144" s="15" t="s">
        <v>468</v>
      </c>
    </row>
    <row r="145" customFormat="false" ht="15" hidden="false" customHeight="true" outlineLevel="0" collapsed="false">
      <c r="A145" s="15" t="s">
        <v>459</v>
      </c>
      <c r="B145" s="15" t="s">
        <v>136</v>
      </c>
      <c r="C145" s="15" t="n">
        <v>149.2</v>
      </c>
      <c r="D145" s="15" t="n">
        <v>0</v>
      </c>
      <c r="E145" s="15" t="n">
        <v>0</v>
      </c>
      <c r="F145" s="15" t="s">
        <v>468</v>
      </c>
    </row>
    <row r="146" customFormat="false" ht="15" hidden="false" customHeight="true" outlineLevel="0" collapsed="false">
      <c r="A146" s="15" t="s">
        <v>460</v>
      </c>
      <c r="B146" s="15" t="s">
        <v>136</v>
      </c>
      <c r="C146" s="15" t="n">
        <v>172.7</v>
      </c>
      <c r="D146" s="15" t="n">
        <v>0</v>
      </c>
      <c r="E146" s="15" t="n">
        <v>0</v>
      </c>
      <c r="F146" s="15" t="s">
        <v>468</v>
      </c>
    </row>
    <row r="147" customFormat="false" ht="15" hidden="false" customHeight="true" outlineLevel="0" collapsed="false">
      <c r="A147" s="15" t="s">
        <v>461</v>
      </c>
      <c r="B147" s="15" t="s">
        <v>136</v>
      </c>
      <c r="C147" s="15" t="n">
        <v>196.3</v>
      </c>
      <c r="D147" s="15" t="n">
        <v>0</v>
      </c>
      <c r="E147" s="15" t="n">
        <v>0</v>
      </c>
      <c r="F147" s="15" t="s">
        <v>468</v>
      </c>
    </row>
    <row r="148" customFormat="false" ht="15" hidden="false" customHeight="true" outlineLevel="0" collapsed="false">
      <c r="A148" s="15" t="s">
        <v>329</v>
      </c>
      <c r="B148" s="15" t="s">
        <v>139</v>
      </c>
      <c r="C148" s="15" t="n">
        <v>1.26</v>
      </c>
      <c r="D148" s="15" t="n">
        <v>0</v>
      </c>
      <c r="E148" s="15" t="n">
        <v>0</v>
      </c>
      <c r="F148" s="15" t="s">
        <v>468</v>
      </c>
    </row>
    <row r="149" customFormat="false" ht="15" hidden="false" customHeight="true" outlineLevel="0" collapsed="false">
      <c r="A149" s="15" t="s">
        <v>124</v>
      </c>
      <c r="B149" s="15" t="s">
        <v>139</v>
      </c>
      <c r="C149" s="15" t="n">
        <v>0.84</v>
      </c>
      <c r="D149" s="15" t="n">
        <v>0</v>
      </c>
      <c r="E149" s="15" t="n">
        <v>0</v>
      </c>
      <c r="F149" s="15" t="s">
        <v>468</v>
      </c>
    </row>
    <row r="150" customFormat="false" ht="15" hidden="false" customHeight="true" outlineLevel="0" collapsed="false">
      <c r="A150" s="15" t="s">
        <v>140</v>
      </c>
      <c r="B150" s="15" t="s">
        <v>139</v>
      </c>
      <c r="C150" s="15" t="n">
        <v>1.97</v>
      </c>
      <c r="D150" s="15" t="n">
        <v>0</v>
      </c>
      <c r="E150" s="15" t="n">
        <v>0</v>
      </c>
      <c r="F150" s="15" t="s">
        <v>468</v>
      </c>
    </row>
    <row r="151" customFormat="false" ht="15" hidden="false" customHeight="true" outlineLevel="0" collapsed="false">
      <c r="A151" s="15" t="s">
        <v>122</v>
      </c>
      <c r="B151" s="15" t="s">
        <v>139</v>
      </c>
      <c r="C151" s="15" t="n">
        <v>1.32</v>
      </c>
      <c r="D151" s="15" t="n">
        <v>0</v>
      </c>
      <c r="E151" s="15" t="n">
        <v>0</v>
      </c>
      <c r="F151" s="15" t="s">
        <v>468</v>
      </c>
    </row>
    <row r="152" customFormat="false" ht="15" hidden="false" customHeight="true" outlineLevel="0" collapsed="false">
      <c r="A152" s="15" t="s">
        <v>404</v>
      </c>
      <c r="B152" s="15" t="s">
        <v>139</v>
      </c>
      <c r="C152" s="15" t="n">
        <v>0.99</v>
      </c>
      <c r="D152" s="15" t="n">
        <v>0</v>
      </c>
      <c r="E152" s="15" t="n">
        <v>0</v>
      </c>
      <c r="F152" s="15" t="s">
        <v>468</v>
      </c>
    </row>
    <row r="153" customFormat="false" ht="15" hidden="false" customHeight="true" outlineLevel="0" collapsed="false">
      <c r="A153" s="15" t="s">
        <v>405</v>
      </c>
      <c r="B153" s="15" t="s">
        <v>139</v>
      </c>
      <c r="C153" s="15" t="n">
        <v>3.08</v>
      </c>
      <c r="D153" s="15" t="n">
        <v>0</v>
      </c>
      <c r="E153" s="15" t="n">
        <v>0</v>
      </c>
      <c r="F153" s="15" t="s">
        <v>468</v>
      </c>
    </row>
    <row r="154" customFormat="false" ht="15" hidden="false" customHeight="true" outlineLevel="0" collapsed="false">
      <c r="A154" s="15" t="s">
        <v>406</v>
      </c>
      <c r="B154" s="15" t="s">
        <v>139</v>
      </c>
      <c r="C154" s="15" t="n">
        <v>2.06</v>
      </c>
      <c r="D154" s="15" t="n">
        <v>0</v>
      </c>
      <c r="E154" s="15" t="n">
        <v>0</v>
      </c>
      <c r="F154" s="15" t="s">
        <v>468</v>
      </c>
    </row>
    <row r="155" customFormat="false" ht="15" hidden="false" customHeight="true" outlineLevel="0" collapsed="false">
      <c r="A155" s="15" t="s">
        <v>407</v>
      </c>
      <c r="B155" s="15" t="s">
        <v>139</v>
      </c>
      <c r="C155" s="15" t="n">
        <v>1.54</v>
      </c>
      <c r="D155" s="15" t="n">
        <v>0</v>
      </c>
      <c r="E155" s="15" t="n">
        <v>0</v>
      </c>
      <c r="F155" s="15" t="s">
        <v>468</v>
      </c>
    </row>
    <row r="156" customFormat="false" ht="15" hidden="false" customHeight="true" outlineLevel="0" collapsed="false">
      <c r="A156" s="15" t="s">
        <v>408</v>
      </c>
      <c r="B156" s="15" t="s">
        <v>139</v>
      </c>
      <c r="C156" s="15" t="n">
        <v>4.44</v>
      </c>
      <c r="D156" s="15" t="n">
        <v>0</v>
      </c>
      <c r="E156" s="15" t="n">
        <v>0</v>
      </c>
      <c r="F156" s="15" t="s">
        <v>468</v>
      </c>
    </row>
    <row r="157" customFormat="false" ht="15" hidden="false" customHeight="true" outlineLevel="0" collapsed="false">
      <c r="A157" s="15" t="s">
        <v>409</v>
      </c>
      <c r="B157" s="15" t="s">
        <v>139</v>
      </c>
      <c r="C157" s="15" t="n">
        <v>2.96</v>
      </c>
      <c r="D157" s="15" t="n">
        <v>0</v>
      </c>
      <c r="E157" s="15" t="n">
        <v>0</v>
      </c>
      <c r="F157" s="15" t="s">
        <v>468</v>
      </c>
    </row>
    <row r="158" customFormat="false" ht="15" hidden="false" customHeight="true" outlineLevel="0" collapsed="false">
      <c r="A158" s="15" t="s">
        <v>410</v>
      </c>
      <c r="B158" s="15" t="s">
        <v>139</v>
      </c>
      <c r="C158" s="15" t="n">
        <v>2.22</v>
      </c>
      <c r="D158" s="15" t="n">
        <v>0</v>
      </c>
      <c r="E158" s="15" t="n">
        <v>0</v>
      </c>
      <c r="F158" s="15" t="s">
        <v>468</v>
      </c>
    </row>
    <row r="159" customFormat="false" ht="15" hidden="false" customHeight="true" outlineLevel="0" collapsed="false">
      <c r="A159" s="15" t="s">
        <v>120</v>
      </c>
      <c r="B159" s="15" t="s">
        <v>216</v>
      </c>
      <c r="C159" s="15" t="n">
        <v>17.6</v>
      </c>
      <c r="D159" s="15" t="n">
        <v>76</v>
      </c>
      <c r="E159" s="15" t="n">
        <v>305</v>
      </c>
      <c r="F159" s="15" t="s">
        <v>468</v>
      </c>
    </row>
    <row r="160" customFormat="false" ht="15" hidden="false" customHeight="true" outlineLevel="0" collapsed="false">
      <c r="A160" s="15" t="s">
        <v>123</v>
      </c>
      <c r="B160" s="15" t="s">
        <v>217</v>
      </c>
      <c r="C160" s="15" t="n">
        <v>0.56</v>
      </c>
      <c r="D160" s="15" t="n">
        <v>10</v>
      </c>
      <c r="E160" s="15" t="n">
        <v>0</v>
      </c>
      <c r="F160" s="15" t="s">
        <v>466</v>
      </c>
    </row>
    <row r="161" customFormat="false" ht="15" hidden="false" customHeight="true" outlineLevel="0" collapsed="false">
      <c r="A161" s="15" t="s">
        <v>121</v>
      </c>
      <c r="B161" s="15" t="s">
        <v>217</v>
      </c>
      <c r="C161" s="15" t="n">
        <v>0.994</v>
      </c>
      <c r="D161" s="15" t="n">
        <v>13</v>
      </c>
      <c r="E161" s="15" t="n">
        <v>0</v>
      </c>
      <c r="F161" s="15" t="s">
        <v>466</v>
      </c>
    </row>
    <row r="162" customFormat="false" ht="15" hidden="false" customHeight="true" outlineLevel="0" collapsed="false">
      <c r="A162" s="15" t="s">
        <v>440</v>
      </c>
      <c r="B162" s="15" t="s">
        <v>217</v>
      </c>
      <c r="C162" s="15" t="n">
        <v>1.56</v>
      </c>
      <c r="D162" s="15" t="n">
        <v>16</v>
      </c>
      <c r="E162" s="15" t="n">
        <v>0</v>
      </c>
      <c r="F162" s="15" t="s">
        <v>466</v>
      </c>
    </row>
    <row r="163" customFormat="false" ht="15" hidden="false" customHeight="false" outlineLevel="0" collapsed="false">
      <c r="A163" s="1" t="s">
        <v>473</v>
      </c>
      <c r="B163" s="1" t="s">
        <v>49</v>
      </c>
      <c r="C163" s="1" t="n">
        <v>20.7</v>
      </c>
      <c r="D163" s="1" t="n">
        <v>0.684</v>
      </c>
      <c r="E163" s="1" t="n">
        <v>100</v>
      </c>
      <c r="F163" s="1" t="s">
        <v>466</v>
      </c>
    </row>
    <row r="164" customFormat="false" ht="15" hidden="false" customHeight="false" outlineLevel="0" collapsed="false">
      <c r="A164" s="1" t="s">
        <v>474</v>
      </c>
      <c r="B164" s="1" t="s">
        <v>49</v>
      </c>
      <c r="C164" s="1" t="n">
        <v>18</v>
      </c>
      <c r="D164" s="1" t="n">
        <v>0.7</v>
      </c>
      <c r="E164" s="1" t="n">
        <v>90</v>
      </c>
      <c r="F164" s="1" t="s">
        <v>466</v>
      </c>
    </row>
    <row r="165" customFormat="false" ht="15" hidden="false" customHeight="false" outlineLevel="0" collapsed="false">
      <c r="A165" s="1" t="s">
        <v>475</v>
      </c>
      <c r="B165" s="1" t="s">
        <v>49</v>
      </c>
      <c r="C165" s="1" t="n">
        <v>121</v>
      </c>
      <c r="D165" s="1" t="n">
        <v>2.058</v>
      </c>
      <c r="E165" s="1" t="n">
        <v>300</v>
      </c>
      <c r="F165" s="1" t="s">
        <v>466</v>
      </c>
    </row>
    <row r="166" customFormat="false" ht="15" hidden="false" customHeight="false" outlineLevel="0" collapsed="false">
      <c r="A166" s="1" t="s">
        <v>476</v>
      </c>
      <c r="B166" s="1" t="s">
        <v>49</v>
      </c>
      <c r="C166" s="1" t="n">
        <v>118</v>
      </c>
      <c r="D166" s="1" t="n">
        <v>1.992</v>
      </c>
      <c r="E166" s="1" t="n">
        <v>201</v>
      </c>
      <c r="F166" s="1" t="s">
        <v>466</v>
      </c>
    </row>
    <row r="167" customFormat="false" ht="15" hidden="false" customHeight="false" outlineLevel="0" collapsed="false">
      <c r="A167" s="1" t="s">
        <v>477</v>
      </c>
      <c r="B167" s="1" t="s">
        <v>215</v>
      </c>
      <c r="C167" s="1" t="n">
        <v>36.2</v>
      </c>
      <c r="D167" s="1" t="n">
        <v>0.783</v>
      </c>
      <c r="E167" s="1" t="n">
        <v>125</v>
      </c>
      <c r="F167" s="1" t="s">
        <v>466</v>
      </c>
    </row>
    <row r="168" customFormat="false" ht="15" hidden="false" customHeight="false" outlineLevel="0" collapsed="false">
      <c r="A168" s="1" t="s">
        <v>478</v>
      </c>
      <c r="B168" s="1" t="s">
        <v>215</v>
      </c>
      <c r="C168" s="1" t="n">
        <v>23.6</v>
      </c>
      <c r="D168" s="1" t="n">
        <v>0.748</v>
      </c>
      <c r="E168" s="1" t="n">
        <v>100</v>
      </c>
      <c r="F168" s="1" t="s">
        <v>466</v>
      </c>
    </row>
    <row r="169" customFormat="false" ht="15" hidden="false" customHeight="false" outlineLevel="0" collapsed="false">
      <c r="A169" s="1" t="s">
        <v>479</v>
      </c>
      <c r="B169" s="1" t="s">
        <v>215</v>
      </c>
      <c r="C169" s="1" t="n">
        <v>50.4</v>
      </c>
      <c r="D169" s="1" t="n">
        <v>0.982</v>
      </c>
      <c r="E169" s="1" t="n">
        <v>150</v>
      </c>
      <c r="F169" s="1" t="s">
        <v>466</v>
      </c>
    </row>
    <row r="170" customFormat="false" ht="15" hidden="false" customHeight="false" outlineLevel="0" collapsed="false">
      <c r="A170" s="1" t="s">
        <v>480</v>
      </c>
      <c r="B170" s="1" t="s">
        <v>215</v>
      </c>
      <c r="C170" s="1" t="n">
        <v>91.7</v>
      </c>
      <c r="D170" s="1" t="n">
        <v>1.578</v>
      </c>
      <c r="E170" s="1" t="n">
        <v>175</v>
      </c>
      <c r="F170" s="1" t="s">
        <v>466</v>
      </c>
    </row>
    <row r="171" customFormat="false" ht="15" hidden="false" customHeight="false" outlineLevel="0" collapsed="false">
      <c r="A171" s="1" t="s">
        <v>481</v>
      </c>
      <c r="B171" s="1" t="s">
        <v>215</v>
      </c>
      <c r="C171" s="1" t="n">
        <v>133</v>
      </c>
      <c r="D171" s="1" t="n">
        <v>1.934</v>
      </c>
      <c r="E171" s="1" t="n">
        <v>190</v>
      </c>
      <c r="F171" s="1" t="s">
        <v>466</v>
      </c>
    </row>
    <row r="172" customFormat="false" ht="15" hidden="false" customHeight="false" outlineLevel="0" collapsed="false">
      <c r="A172" s="1" t="s">
        <v>482</v>
      </c>
      <c r="B172" s="1" t="s">
        <v>76</v>
      </c>
      <c r="C172" s="1" t="n">
        <v>30.3</v>
      </c>
      <c r="D172" s="1" t="n">
        <v>0.744</v>
      </c>
      <c r="E172" s="1" t="n">
        <v>90</v>
      </c>
      <c r="F172" s="1" t="s">
        <v>466</v>
      </c>
    </row>
    <row r="173" customFormat="false" ht="15" hidden="false" customHeight="false" outlineLevel="0" collapsed="false">
      <c r="A173" s="1" t="s">
        <v>483</v>
      </c>
      <c r="B173" s="1" t="s">
        <v>58</v>
      </c>
      <c r="C173" s="1" t="n">
        <v>294</v>
      </c>
      <c r="D173" s="1" t="n">
        <v>1.6</v>
      </c>
      <c r="E173" s="1" t="n">
        <v>400</v>
      </c>
      <c r="F173" s="1" t="s">
        <v>466</v>
      </c>
    </row>
    <row r="174" customFormat="false" ht="15" hidden="false" customHeight="false" outlineLevel="0" collapsed="false">
      <c r="A174" s="1" t="s">
        <v>484</v>
      </c>
      <c r="B174" s="1" t="s">
        <v>58</v>
      </c>
      <c r="C174" s="1" t="n">
        <v>327</v>
      </c>
      <c r="D174" s="1" t="n">
        <v>1.6</v>
      </c>
      <c r="E174" s="1" t="n">
        <v>400</v>
      </c>
      <c r="F174" s="1" t="s">
        <v>466</v>
      </c>
    </row>
    <row r="175" customFormat="false" ht="15" hidden="false" customHeight="false" outlineLevel="0" collapsed="false">
      <c r="A175" s="1" t="s">
        <v>485</v>
      </c>
      <c r="B175" s="1" t="s">
        <v>58</v>
      </c>
      <c r="C175" s="1" t="n">
        <v>370</v>
      </c>
      <c r="D175" s="1" t="n">
        <v>1.6</v>
      </c>
      <c r="E175" s="1" t="n">
        <v>400</v>
      </c>
      <c r="F175" s="1" t="s">
        <v>466</v>
      </c>
    </row>
    <row r="176" customFormat="false" ht="15" hidden="false" customHeight="false" outlineLevel="0" collapsed="false">
      <c r="A176" s="1" t="s">
        <v>486</v>
      </c>
      <c r="B176" s="1" t="s">
        <v>58</v>
      </c>
      <c r="C176" s="1" t="n">
        <v>411</v>
      </c>
      <c r="D176" s="1" t="n">
        <v>1.6</v>
      </c>
      <c r="E176" s="1" t="n">
        <v>400</v>
      </c>
      <c r="F176" s="1" t="s">
        <v>466</v>
      </c>
    </row>
    <row r="177" customFormat="false" ht="15" hidden="false" customHeight="false" outlineLevel="0" collapsed="false">
      <c r="A177" s="1" t="s">
        <v>487</v>
      </c>
      <c r="B177" s="1" t="s">
        <v>58</v>
      </c>
      <c r="C177" s="1" t="n">
        <v>218</v>
      </c>
      <c r="D177" s="1" t="n">
        <v>1.8</v>
      </c>
      <c r="E177" s="1" t="n">
        <v>450</v>
      </c>
      <c r="F177" s="1" t="s">
        <v>466</v>
      </c>
    </row>
    <row r="178" customFormat="false" ht="15" hidden="false" customHeight="false" outlineLevel="0" collapsed="false">
      <c r="A178" s="1" t="s">
        <v>488</v>
      </c>
      <c r="B178" s="1" t="s">
        <v>58</v>
      </c>
      <c r="C178" s="1" t="n">
        <v>257</v>
      </c>
      <c r="D178" s="1" t="n">
        <v>1.8</v>
      </c>
      <c r="E178" s="1" t="n">
        <v>450</v>
      </c>
      <c r="F178" s="1" t="s">
        <v>466</v>
      </c>
    </row>
    <row r="179" customFormat="false" ht="15" hidden="false" customHeight="false" outlineLevel="0" collapsed="false">
      <c r="A179" s="1" t="s">
        <v>489</v>
      </c>
      <c r="B179" s="1" t="s">
        <v>58</v>
      </c>
      <c r="C179" s="1" t="n">
        <v>296</v>
      </c>
      <c r="D179" s="1" t="n">
        <v>1.8</v>
      </c>
      <c r="E179" s="1" t="n">
        <v>450</v>
      </c>
      <c r="F179" s="1" t="s">
        <v>466</v>
      </c>
    </row>
    <row r="180" customFormat="false" ht="15" hidden="false" customHeight="false" outlineLevel="0" collapsed="false">
      <c r="A180" s="1" t="s">
        <v>490</v>
      </c>
      <c r="B180" s="1" t="s">
        <v>58</v>
      </c>
      <c r="C180" s="1" t="n">
        <v>371</v>
      </c>
      <c r="D180" s="1" t="n">
        <v>1.8</v>
      </c>
      <c r="E180" s="1" t="n">
        <v>450</v>
      </c>
      <c r="F180" s="1" t="s">
        <v>466</v>
      </c>
    </row>
    <row r="181" customFormat="false" ht="15" hidden="false" customHeight="false" outlineLevel="0" collapsed="false">
      <c r="A181" s="1" t="s">
        <v>491</v>
      </c>
      <c r="B181" s="1" t="s">
        <v>58</v>
      </c>
      <c r="C181" s="1" t="n">
        <v>420</v>
      </c>
      <c r="D181" s="1" t="n">
        <v>1.8</v>
      </c>
      <c r="E181" s="1" t="n">
        <v>450</v>
      </c>
      <c r="F181" s="1" t="s">
        <v>466</v>
      </c>
    </row>
    <row r="182" customFormat="false" ht="15" hidden="false" customHeight="false" outlineLevel="0" collapsed="false">
      <c r="A182" s="1" t="s">
        <v>492</v>
      </c>
      <c r="B182" s="1" t="s">
        <v>58</v>
      </c>
      <c r="C182" s="1" t="n">
        <v>468</v>
      </c>
      <c r="D182" s="1" t="n">
        <v>1.8</v>
      </c>
      <c r="E182" s="1" t="n">
        <v>450</v>
      </c>
      <c r="F182" s="1" t="s">
        <v>466</v>
      </c>
    </row>
    <row r="183" customFormat="false" ht="15" hidden="false" customHeight="false" outlineLevel="0" collapsed="false">
      <c r="A183" s="1" t="s">
        <v>493</v>
      </c>
      <c r="B183" s="1" t="s">
        <v>58</v>
      </c>
      <c r="C183" s="1" t="n">
        <v>373</v>
      </c>
      <c r="D183" s="1" t="n">
        <v>2</v>
      </c>
      <c r="E183" s="1" t="n">
        <v>500</v>
      </c>
      <c r="F183" s="1" t="s">
        <v>466</v>
      </c>
    </row>
    <row r="184" customFormat="false" ht="15" hidden="false" customHeight="false" outlineLevel="0" collapsed="false">
      <c r="A184" s="1" t="s">
        <v>494</v>
      </c>
      <c r="B184" s="1" t="s">
        <v>58</v>
      </c>
      <c r="C184" s="1" t="n">
        <v>470</v>
      </c>
      <c r="D184" s="1" t="n">
        <v>2</v>
      </c>
      <c r="E184" s="1" t="n">
        <v>500</v>
      </c>
      <c r="F184" s="1" t="s">
        <v>466</v>
      </c>
    </row>
    <row r="185" customFormat="false" ht="15" hidden="false" customHeight="false" outlineLevel="0" collapsed="false">
      <c r="A185" s="1" t="s">
        <v>495</v>
      </c>
      <c r="B185" s="1" t="s">
        <v>58</v>
      </c>
      <c r="C185" s="1" t="n">
        <v>524</v>
      </c>
      <c r="D185" s="1" t="n">
        <v>2</v>
      </c>
      <c r="E185" s="1" t="n">
        <v>500</v>
      </c>
      <c r="F185" s="1" t="s">
        <v>466</v>
      </c>
    </row>
    <row r="186" customFormat="false" ht="15" hidden="false" customHeight="false" outlineLevel="0" collapsed="false">
      <c r="A186" s="1" t="s">
        <v>496</v>
      </c>
      <c r="B186" s="1" t="s">
        <v>58</v>
      </c>
      <c r="C186" s="1" t="n">
        <v>578</v>
      </c>
      <c r="D186" s="1" t="n">
        <v>2</v>
      </c>
      <c r="E186" s="1" t="n">
        <v>500</v>
      </c>
      <c r="F186" s="1" t="s">
        <v>466</v>
      </c>
    </row>
    <row r="187" customFormat="false" ht="15" hidden="false" customHeight="false" outlineLevel="0" collapsed="false">
      <c r="A187" s="1" t="s">
        <v>497</v>
      </c>
      <c r="B187" s="1" t="s">
        <v>58</v>
      </c>
      <c r="C187" s="1" t="n">
        <v>317</v>
      </c>
      <c r="D187" s="1" t="n">
        <v>2.2</v>
      </c>
      <c r="E187" s="1" t="n">
        <v>550</v>
      </c>
      <c r="F187" s="1" t="s">
        <v>466</v>
      </c>
    </row>
    <row r="188" customFormat="false" ht="15" hidden="false" customHeight="false" outlineLevel="0" collapsed="false">
      <c r="A188" s="1" t="s">
        <v>498</v>
      </c>
      <c r="B188" s="1" t="s">
        <v>58</v>
      </c>
      <c r="C188" s="1" t="n">
        <v>365</v>
      </c>
      <c r="D188" s="1" t="n">
        <v>2.2</v>
      </c>
      <c r="E188" s="1" t="n">
        <v>550</v>
      </c>
      <c r="F188" s="1" t="s">
        <v>466</v>
      </c>
    </row>
    <row r="189" customFormat="false" ht="15" hidden="false" customHeight="false" outlineLevel="0" collapsed="false">
      <c r="A189" s="1" t="s">
        <v>499</v>
      </c>
      <c r="B189" s="1" t="s">
        <v>58</v>
      </c>
      <c r="C189" s="1" t="n">
        <v>412</v>
      </c>
      <c r="D189" s="1" t="n">
        <v>2.2</v>
      </c>
      <c r="E189" s="1" t="n">
        <v>550</v>
      </c>
      <c r="F189" s="1" t="s">
        <v>466</v>
      </c>
    </row>
    <row r="190" customFormat="false" ht="15" hidden="false" customHeight="false" outlineLevel="0" collapsed="false">
      <c r="A190" s="1" t="s">
        <v>500</v>
      </c>
      <c r="B190" s="1" t="s">
        <v>58</v>
      </c>
      <c r="C190" s="1" t="n">
        <v>520</v>
      </c>
      <c r="D190" s="1" t="n">
        <v>2.2</v>
      </c>
      <c r="E190" s="1" t="n">
        <v>550</v>
      </c>
      <c r="F190" s="1" t="s">
        <v>466</v>
      </c>
    </row>
    <row r="191" customFormat="false" ht="15" hidden="false" customHeight="false" outlineLevel="0" collapsed="false">
      <c r="A191" s="1" t="s">
        <v>501</v>
      </c>
      <c r="B191" s="1" t="s">
        <v>58</v>
      </c>
      <c r="C191" s="1" t="n">
        <v>581</v>
      </c>
      <c r="D191" s="1" t="n">
        <v>2.2</v>
      </c>
      <c r="E191" s="1" t="n">
        <v>550</v>
      </c>
      <c r="F191" s="1" t="s">
        <v>466</v>
      </c>
    </row>
    <row r="192" customFormat="false" ht="15" hidden="false" customHeight="false" outlineLevel="0" collapsed="false">
      <c r="A192" s="1" t="s">
        <v>502</v>
      </c>
      <c r="B192" s="1" t="s">
        <v>58</v>
      </c>
      <c r="C192" s="1" t="n">
        <v>640</v>
      </c>
      <c r="D192" s="1" t="n">
        <v>2.2</v>
      </c>
      <c r="E192" s="1" t="n">
        <v>550</v>
      </c>
      <c r="F192" s="1" t="s">
        <v>466</v>
      </c>
    </row>
    <row r="193" customFormat="false" ht="15" hidden="false" customHeight="false" outlineLevel="0" collapsed="false">
      <c r="A193" s="1" t="s">
        <v>503</v>
      </c>
      <c r="B193" s="1" t="s">
        <v>58</v>
      </c>
      <c r="C193" s="1" t="n">
        <v>451</v>
      </c>
      <c r="D193" s="1" t="n">
        <v>2.4</v>
      </c>
      <c r="E193" s="1" t="n">
        <v>600</v>
      </c>
      <c r="F193" s="1" t="s">
        <v>466</v>
      </c>
    </row>
    <row r="194" customFormat="false" ht="15" hidden="false" customHeight="false" outlineLevel="0" collapsed="false">
      <c r="A194" s="1" t="s">
        <v>504</v>
      </c>
      <c r="B194" s="1" t="s">
        <v>58</v>
      </c>
      <c r="C194" s="1" t="n">
        <v>503</v>
      </c>
      <c r="D194" s="1" t="n">
        <v>2.4</v>
      </c>
      <c r="E194" s="1" t="n">
        <v>600</v>
      </c>
      <c r="F194" s="1" t="s">
        <v>466</v>
      </c>
    </row>
    <row r="195" customFormat="false" ht="15" hidden="false" customHeight="false" outlineLevel="0" collapsed="false">
      <c r="A195" s="1" t="s">
        <v>505</v>
      </c>
      <c r="B195" s="1" t="s">
        <v>58</v>
      </c>
      <c r="C195" s="1" t="n">
        <v>571</v>
      </c>
      <c r="D195" s="1" t="n">
        <v>2.4</v>
      </c>
      <c r="E195" s="1" t="n">
        <v>600</v>
      </c>
      <c r="F195" s="1" t="s">
        <v>466</v>
      </c>
    </row>
    <row r="196" customFormat="false" ht="15" hidden="false" customHeight="false" outlineLevel="0" collapsed="false">
      <c r="A196" s="1" t="s">
        <v>506</v>
      </c>
      <c r="B196" s="1" t="s">
        <v>58</v>
      </c>
      <c r="C196" s="1" t="n">
        <v>637</v>
      </c>
      <c r="D196" s="1" t="n">
        <v>2.4</v>
      </c>
      <c r="E196" s="1" t="n">
        <v>600</v>
      </c>
      <c r="F196" s="1" t="s">
        <v>466</v>
      </c>
    </row>
    <row r="197" customFormat="false" ht="15" hidden="false" customHeight="false" outlineLevel="0" collapsed="false">
      <c r="A197" s="1" t="s">
        <v>507</v>
      </c>
      <c r="B197" s="1" t="s">
        <v>58</v>
      </c>
      <c r="C197" s="1" t="n">
        <v>703</v>
      </c>
      <c r="D197" s="1" t="n">
        <v>2.4</v>
      </c>
      <c r="E197" s="1" t="n">
        <v>600</v>
      </c>
      <c r="F197" s="1" t="s">
        <v>466</v>
      </c>
    </row>
    <row r="198" customFormat="false" ht="15" hidden="false" customHeight="false" outlineLevel="0" collapsed="false">
      <c r="A198" s="1" t="s">
        <v>508</v>
      </c>
      <c r="B198" s="1" t="s">
        <v>58</v>
      </c>
      <c r="C198" s="1" t="n">
        <v>784</v>
      </c>
      <c r="D198" s="1" t="n">
        <v>2.4</v>
      </c>
      <c r="E198" s="1" t="n">
        <v>600</v>
      </c>
      <c r="F198" s="1" t="s">
        <v>466</v>
      </c>
    </row>
    <row r="199" customFormat="false" ht="15" hidden="false" customHeight="false" outlineLevel="0" collapsed="false">
      <c r="A199" s="1" t="s">
        <v>509</v>
      </c>
      <c r="B199" s="1" t="s">
        <v>58</v>
      </c>
      <c r="C199" s="1" t="n">
        <v>863</v>
      </c>
      <c r="D199" s="1" t="n">
        <v>2.4</v>
      </c>
      <c r="E199" s="1" t="n">
        <v>600</v>
      </c>
      <c r="F199" s="1" t="s">
        <v>466</v>
      </c>
    </row>
    <row r="200" customFormat="false" ht="15" hidden="false" customHeight="false" outlineLevel="0" collapsed="false">
      <c r="A200" s="1" t="s">
        <v>510</v>
      </c>
      <c r="B200" s="1" t="s">
        <v>58</v>
      </c>
      <c r="C200" s="1" t="n">
        <v>434</v>
      </c>
      <c r="D200" s="1" t="n">
        <v>2.6</v>
      </c>
      <c r="E200" s="1" t="n">
        <v>650</v>
      </c>
      <c r="F200" s="1" t="s">
        <v>466</v>
      </c>
    </row>
    <row r="201" customFormat="false" ht="15" hidden="false" customHeight="false" outlineLevel="0" collapsed="false">
      <c r="A201" s="1" t="s">
        <v>511</v>
      </c>
      <c r="B201" s="1" t="s">
        <v>58</v>
      </c>
      <c r="C201" s="1" t="n">
        <v>491</v>
      </c>
      <c r="D201" s="1" t="n">
        <v>2.6</v>
      </c>
      <c r="E201" s="1" t="n">
        <v>650</v>
      </c>
      <c r="F201" s="1" t="s">
        <v>466</v>
      </c>
    </row>
    <row r="202" customFormat="false" ht="15" hidden="false" customHeight="false" outlineLevel="0" collapsed="false">
      <c r="A202" s="1" t="s">
        <v>512</v>
      </c>
      <c r="B202" s="1" t="s">
        <v>58</v>
      </c>
      <c r="C202" s="1" t="n">
        <v>547</v>
      </c>
      <c r="D202" s="1" t="n">
        <v>2.6</v>
      </c>
      <c r="E202" s="1" t="n">
        <v>650</v>
      </c>
      <c r="F202" s="1" t="s">
        <v>466</v>
      </c>
    </row>
    <row r="203" customFormat="false" ht="15" hidden="false" customHeight="false" outlineLevel="0" collapsed="false">
      <c r="A203" s="1" t="s">
        <v>513</v>
      </c>
      <c r="B203" s="1" t="s">
        <v>58</v>
      </c>
      <c r="C203" s="1" t="n">
        <v>621</v>
      </c>
      <c r="D203" s="1" t="n">
        <v>2.6</v>
      </c>
      <c r="E203" s="1" t="n">
        <v>650</v>
      </c>
      <c r="F203" s="1" t="s">
        <v>466</v>
      </c>
    </row>
    <row r="204" customFormat="false" ht="15" hidden="false" customHeight="false" outlineLevel="0" collapsed="false">
      <c r="A204" s="1" t="s">
        <v>514</v>
      </c>
      <c r="B204" s="1" t="s">
        <v>58</v>
      </c>
      <c r="C204" s="1" t="n">
        <v>694</v>
      </c>
      <c r="D204" s="1" t="n">
        <v>2.6</v>
      </c>
      <c r="E204" s="1" t="n">
        <v>650</v>
      </c>
      <c r="F204" s="1" t="s">
        <v>466</v>
      </c>
    </row>
    <row r="205" customFormat="false" ht="15" hidden="false" customHeight="false" outlineLevel="0" collapsed="false">
      <c r="A205" s="1" t="s">
        <v>515</v>
      </c>
      <c r="B205" s="1" t="s">
        <v>58</v>
      </c>
      <c r="C205" s="1" t="n">
        <v>766</v>
      </c>
      <c r="D205" s="1" t="n">
        <v>2.6</v>
      </c>
      <c r="E205" s="1" t="n">
        <v>650</v>
      </c>
      <c r="F205" s="1" t="s">
        <v>466</v>
      </c>
    </row>
    <row r="206" customFormat="false" ht="15" hidden="false" customHeight="false" outlineLevel="0" collapsed="false">
      <c r="A206" s="1" t="s">
        <v>516</v>
      </c>
      <c r="B206" s="1" t="s">
        <v>58</v>
      </c>
      <c r="C206" s="1" t="n">
        <v>855</v>
      </c>
      <c r="D206" s="1" t="n">
        <v>2.6</v>
      </c>
      <c r="E206" s="1" t="n">
        <v>650</v>
      </c>
      <c r="F206" s="1" t="s">
        <v>466</v>
      </c>
    </row>
    <row r="207" customFormat="false" ht="15" hidden="false" customHeight="false" outlineLevel="0" collapsed="false">
      <c r="A207" s="1" t="s">
        <v>517</v>
      </c>
      <c r="B207" s="1" t="s">
        <v>58</v>
      </c>
      <c r="C207" s="1" t="n">
        <v>942</v>
      </c>
      <c r="D207" s="1" t="n">
        <v>2.6</v>
      </c>
      <c r="E207" s="1" t="n">
        <v>650</v>
      </c>
      <c r="F207" s="1" t="s">
        <v>466</v>
      </c>
    </row>
    <row r="208" customFormat="false" ht="15" hidden="false" customHeight="false" outlineLevel="0" collapsed="false">
      <c r="A208" s="1" t="s">
        <v>518</v>
      </c>
      <c r="B208" s="1" t="s">
        <v>58</v>
      </c>
      <c r="C208" s="1" t="n">
        <v>468</v>
      </c>
      <c r="D208" s="1" t="n">
        <v>2.8</v>
      </c>
      <c r="E208" s="1" t="n">
        <v>700</v>
      </c>
      <c r="F208" s="1" t="s">
        <v>466</v>
      </c>
    </row>
    <row r="209" customFormat="false" ht="15" hidden="false" customHeight="false" outlineLevel="0" collapsed="false">
      <c r="A209" s="1" t="s">
        <v>519</v>
      </c>
      <c r="B209" s="1" t="s">
        <v>58</v>
      </c>
      <c r="C209" s="1" t="n">
        <v>530</v>
      </c>
      <c r="D209" s="1" t="n">
        <v>2.8</v>
      </c>
      <c r="E209" s="1" t="n">
        <v>700</v>
      </c>
      <c r="F209" s="1" t="s">
        <v>466</v>
      </c>
    </row>
    <row r="210" customFormat="false" ht="15" hidden="false" customHeight="false" outlineLevel="0" collapsed="false">
      <c r="A210" s="1" t="s">
        <v>520</v>
      </c>
      <c r="B210" s="1" t="s">
        <v>58</v>
      </c>
      <c r="C210" s="1" t="n">
        <v>591</v>
      </c>
      <c r="D210" s="1" t="n">
        <v>2.8</v>
      </c>
      <c r="E210" s="1" t="n">
        <v>700</v>
      </c>
      <c r="F210" s="1" t="s">
        <v>466</v>
      </c>
    </row>
    <row r="211" customFormat="false" ht="15" hidden="false" customHeight="false" outlineLevel="0" collapsed="false">
      <c r="A211" s="1" t="s">
        <v>521</v>
      </c>
      <c r="B211" s="1" t="s">
        <v>58</v>
      </c>
      <c r="C211" s="1" t="n">
        <v>671</v>
      </c>
      <c r="D211" s="1" t="n">
        <v>2.8</v>
      </c>
      <c r="E211" s="1" t="n">
        <v>700</v>
      </c>
      <c r="F211" s="1" t="s">
        <v>466</v>
      </c>
    </row>
    <row r="212" customFormat="false" ht="15" hidden="false" customHeight="false" outlineLevel="0" collapsed="false">
      <c r="A212" s="1" t="s">
        <v>522</v>
      </c>
      <c r="B212" s="1" t="s">
        <v>58</v>
      </c>
      <c r="C212" s="1" t="n">
        <v>750</v>
      </c>
      <c r="D212" s="1" t="n">
        <v>2.8</v>
      </c>
      <c r="E212" s="1" t="n">
        <v>700</v>
      </c>
      <c r="F212" s="1" t="s">
        <v>466</v>
      </c>
    </row>
    <row r="213" customFormat="false" ht="15" hidden="false" customHeight="false" outlineLevel="0" collapsed="false">
      <c r="A213" s="1" t="s">
        <v>523</v>
      </c>
      <c r="B213" s="1" t="s">
        <v>58</v>
      </c>
      <c r="C213" s="1" t="n">
        <v>829</v>
      </c>
      <c r="D213" s="1" t="n">
        <v>2.8</v>
      </c>
      <c r="E213" s="1" t="n">
        <v>700</v>
      </c>
      <c r="F213" s="1" t="s">
        <v>466</v>
      </c>
    </row>
    <row r="214" customFormat="false" ht="15" hidden="false" customHeight="false" outlineLevel="0" collapsed="false">
      <c r="A214" s="1" t="s">
        <v>524</v>
      </c>
      <c r="B214" s="1" t="s">
        <v>58</v>
      </c>
      <c r="C214" s="1" t="n">
        <v>925</v>
      </c>
      <c r="D214" s="1" t="n">
        <v>2.8</v>
      </c>
      <c r="E214" s="1" t="n">
        <v>700</v>
      </c>
      <c r="F214" s="1" t="s">
        <v>466</v>
      </c>
    </row>
    <row r="215" customFormat="false" ht="15" hidden="false" customHeight="false" outlineLevel="0" collapsed="false">
      <c r="A215" s="1" t="s">
        <v>525</v>
      </c>
      <c r="B215" s="1" t="s">
        <v>58</v>
      </c>
      <c r="C215" s="1" t="n">
        <v>1020</v>
      </c>
      <c r="D215" s="1" t="n">
        <v>2.8</v>
      </c>
      <c r="E215" s="1" t="n">
        <v>700</v>
      </c>
      <c r="F215" s="1" t="s">
        <v>466</v>
      </c>
    </row>
    <row r="216" customFormat="false" ht="15" hidden="false" customHeight="false" outlineLevel="0" collapsed="false">
      <c r="A216" s="1" t="s">
        <v>526</v>
      </c>
      <c r="B216" s="1" t="s">
        <v>58</v>
      </c>
      <c r="C216" s="1" t="n">
        <v>503</v>
      </c>
      <c r="D216" s="1" t="n">
        <v>3</v>
      </c>
      <c r="E216" s="1" t="n">
        <v>750</v>
      </c>
      <c r="F216" s="1" t="s">
        <v>466</v>
      </c>
    </row>
    <row r="217" customFormat="false" ht="15" hidden="false" customHeight="false" outlineLevel="0" collapsed="false">
      <c r="A217" s="1" t="s">
        <v>527</v>
      </c>
      <c r="B217" s="1" t="s">
        <v>58</v>
      </c>
      <c r="C217" s="1" t="n">
        <v>569</v>
      </c>
      <c r="D217" s="1" t="n">
        <v>3</v>
      </c>
      <c r="E217" s="1" t="n">
        <v>750</v>
      </c>
      <c r="F217" s="1" t="s">
        <v>466</v>
      </c>
    </row>
    <row r="218" customFormat="false" ht="15" hidden="false" customHeight="false" outlineLevel="0" collapsed="false">
      <c r="A218" s="1" t="s">
        <v>528</v>
      </c>
      <c r="B218" s="1" t="s">
        <v>58</v>
      </c>
      <c r="C218" s="1" t="n">
        <v>635</v>
      </c>
      <c r="D218" s="1" t="n">
        <v>3</v>
      </c>
      <c r="E218" s="1" t="n">
        <v>750</v>
      </c>
      <c r="F218" s="1" t="s">
        <v>466</v>
      </c>
    </row>
    <row r="219" customFormat="false" ht="15" hidden="false" customHeight="false" outlineLevel="0" collapsed="false">
      <c r="A219" s="1" t="s">
        <v>529</v>
      </c>
      <c r="B219" s="1" t="s">
        <v>58</v>
      </c>
      <c r="C219" s="1" t="n">
        <v>721</v>
      </c>
      <c r="D219" s="1" t="n">
        <v>3</v>
      </c>
      <c r="E219" s="1" t="n">
        <v>750</v>
      </c>
      <c r="F219" s="1" t="s">
        <v>466</v>
      </c>
    </row>
    <row r="220" customFormat="false" ht="15" hidden="false" customHeight="false" outlineLevel="0" collapsed="false">
      <c r="A220" s="1" t="s">
        <v>530</v>
      </c>
      <c r="B220" s="1" t="s">
        <v>58</v>
      </c>
      <c r="C220" s="1" t="n">
        <v>807</v>
      </c>
      <c r="D220" s="1" t="n">
        <v>3</v>
      </c>
      <c r="E220" s="1" t="n">
        <v>750</v>
      </c>
      <c r="F220" s="1" t="s">
        <v>466</v>
      </c>
    </row>
    <row r="221" customFormat="false" ht="15" hidden="false" customHeight="false" outlineLevel="0" collapsed="false">
      <c r="A221" s="1" t="s">
        <v>531</v>
      </c>
      <c r="B221" s="1" t="s">
        <v>58</v>
      </c>
      <c r="C221" s="1" t="n">
        <v>892</v>
      </c>
      <c r="D221" s="1" t="n">
        <v>3</v>
      </c>
      <c r="E221" s="1" t="n">
        <v>750</v>
      </c>
      <c r="F221" s="1" t="s">
        <v>466</v>
      </c>
    </row>
    <row r="222" customFormat="false" ht="15" hidden="false" customHeight="false" outlineLevel="0" collapsed="false">
      <c r="A222" s="1" t="s">
        <v>532</v>
      </c>
      <c r="B222" s="1" t="s">
        <v>58</v>
      </c>
      <c r="C222" s="1" t="n">
        <v>996</v>
      </c>
      <c r="D222" s="1" t="n">
        <v>3</v>
      </c>
      <c r="E222" s="1" t="n">
        <v>750</v>
      </c>
      <c r="F222" s="1" t="s">
        <v>466</v>
      </c>
    </row>
    <row r="223" customFormat="false" ht="15" hidden="false" customHeight="false" outlineLevel="0" collapsed="false">
      <c r="A223" s="1" t="s">
        <v>533</v>
      </c>
      <c r="B223" s="1" t="s">
        <v>58</v>
      </c>
      <c r="C223" s="1" t="n">
        <v>1100</v>
      </c>
      <c r="D223" s="1" t="n">
        <v>3</v>
      </c>
      <c r="E223" s="1" t="n">
        <v>750</v>
      </c>
      <c r="F223" s="1" t="s">
        <v>466</v>
      </c>
    </row>
    <row r="224" customFormat="false" ht="15" hidden="false" customHeight="false" outlineLevel="0" collapsed="false">
      <c r="A224" s="1" t="s">
        <v>534</v>
      </c>
      <c r="B224" s="1" t="s">
        <v>58</v>
      </c>
      <c r="C224" s="1" t="n">
        <v>608</v>
      </c>
      <c r="D224" s="1" t="n">
        <v>3.2</v>
      </c>
      <c r="E224" s="1" t="n">
        <v>800</v>
      </c>
      <c r="F224" s="1" t="s">
        <v>466</v>
      </c>
    </row>
    <row r="225" customFormat="false" ht="15" hidden="false" customHeight="false" outlineLevel="0" collapsed="false">
      <c r="A225" s="1" t="s">
        <v>535</v>
      </c>
      <c r="B225" s="1" t="s">
        <v>58</v>
      </c>
      <c r="C225" s="1" t="n">
        <v>679</v>
      </c>
      <c r="D225" s="1" t="n">
        <v>3.2</v>
      </c>
      <c r="E225" s="1" t="n">
        <v>800</v>
      </c>
      <c r="F225" s="1" t="s">
        <v>466</v>
      </c>
    </row>
    <row r="226" customFormat="false" ht="15" hidden="false" customHeight="false" outlineLevel="0" collapsed="false">
      <c r="A226" s="1" t="s">
        <v>536</v>
      </c>
      <c r="B226" s="1" t="s">
        <v>58</v>
      </c>
      <c r="C226" s="1" t="n">
        <v>772</v>
      </c>
      <c r="D226" s="1" t="n">
        <v>3.2</v>
      </c>
      <c r="E226" s="1" t="n">
        <v>800</v>
      </c>
      <c r="F226" s="1" t="s">
        <v>466</v>
      </c>
    </row>
    <row r="227" customFormat="false" ht="15" hidden="false" customHeight="false" outlineLevel="0" collapsed="false">
      <c r="A227" s="1" t="s">
        <v>537</v>
      </c>
      <c r="B227" s="1" t="s">
        <v>58</v>
      </c>
      <c r="C227" s="1" t="n">
        <v>954</v>
      </c>
      <c r="D227" s="1" t="n">
        <v>3.2</v>
      </c>
      <c r="E227" s="1" t="n">
        <v>800</v>
      </c>
      <c r="F227" s="1" t="s">
        <v>466</v>
      </c>
    </row>
    <row r="228" customFormat="false" ht="15" hidden="false" customHeight="false" outlineLevel="0" collapsed="false">
      <c r="A228" s="1" t="s">
        <v>538</v>
      </c>
      <c r="B228" s="1" t="s">
        <v>58</v>
      </c>
      <c r="C228" s="1" t="n">
        <v>1070</v>
      </c>
      <c r="D228" s="1" t="n">
        <v>3.2</v>
      </c>
      <c r="E228" s="1" t="n">
        <v>800</v>
      </c>
      <c r="F228" s="1" t="s">
        <v>466</v>
      </c>
    </row>
    <row r="229" customFormat="false" ht="15" hidden="false" customHeight="false" outlineLevel="0" collapsed="false">
      <c r="A229" s="1" t="s">
        <v>539</v>
      </c>
      <c r="B229" s="1" t="s">
        <v>58</v>
      </c>
      <c r="C229" s="1" t="n">
        <v>1180</v>
      </c>
      <c r="D229" s="1" t="n">
        <v>3.2</v>
      </c>
      <c r="E229" s="1" t="n">
        <v>800</v>
      </c>
      <c r="F229" s="1" t="s">
        <v>466</v>
      </c>
    </row>
    <row r="230" customFormat="false" ht="15" hidden="false" customHeight="false" outlineLevel="0" collapsed="false">
      <c r="A230" s="1" t="s">
        <v>540</v>
      </c>
      <c r="B230" s="1" t="s">
        <v>58</v>
      </c>
      <c r="C230" s="1" t="n">
        <v>648</v>
      </c>
      <c r="D230" s="1" t="n">
        <v>3.4</v>
      </c>
      <c r="E230" s="1" t="n">
        <v>850</v>
      </c>
      <c r="F230" s="1" t="s">
        <v>466</v>
      </c>
    </row>
    <row r="231" customFormat="false" ht="15" hidden="false" customHeight="false" outlineLevel="0" collapsed="false">
      <c r="A231" s="1" t="s">
        <v>541</v>
      </c>
      <c r="B231" s="1" t="s">
        <v>58</v>
      </c>
      <c r="C231" s="1" t="n">
        <v>723</v>
      </c>
      <c r="D231" s="1" t="n">
        <v>3.4</v>
      </c>
      <c r="E231" s="1" t="n">
        <v>850</v>
      </c>
      <c r="F231" s="1" t="s">
        <v>466</v>
      </c>
    </row>
    <row r="232" customFormat="false" ht="15" hidden="false" customHeight="false" outlineLevel="0" collapsed="false">
      <c r="A232" s="1" t="s">
        <v>542</v>
      </c>
      <c r="B232" s="1" t="s">
        <v>58</v>
      </c>
      <c r="C232" s="1" t="n">
        <v>920</v>
      </c>
      <c r="D232" s="1" t="n">
        <v>3.4</v>
      </c>
      <c r="E232" s="1" t="n">
        <v>850</v>
      </c>
      <c r="F232" s="1" t="s">
        <v>466</v>
      </c>
    </row>
    <row r="233" customFormat="false" ht="15" hidden="false" customHeight="false" outlineLevel="0" collapsed="false">
      <c r="A233" s="1" t="s">
        <v>543</v>
      </c>
      <c r="B233" s="1" t="s">
        <v>58</v>
      </c>
      <c r="C233" s="1" t="n">
        <v>1020</v>
      </c>
      <c r="D233" s="1" t="n">
        <v>3.4</v>
      </c>
      <c r="E233" s="1" t="n">
        <v>850</v>
      </c>
      <c r="F233" s="1" t="s">
        <v>466</v>
      </c>
    </row>
    <row r="234" customFormat="false" ht="15" hidden="false" customHeight="false" outlineLevel="0" collapsed="false">
      <c r="A234" s="1" t="s">
        <v>544</v>
      </c>
      <c r="B234" s="1" t="s">
        <v>58</v>
      </c>
      <c r="C234" s="1" t="n">
        <v>1140</v>
      </c>
      <c r="D234" s="1" t="n">
        <v>3.4</v>
      </c>
      <c r="E234" s="1" t="n">
        <v>850</v>
      </c>
      <c r="F234" s="1" t="s">
        <v>466</v>
      </c>
    </row>
    <row r="235" customFormat="false" ht="15" hidden="false" customHeight="false" outlineLevel="0" collapsed="false">
      <c r="A235" s="1" t="s">
        <v>545</v>
      </c>
      <c r="B235" s="1" t="s">
        <v>58</v>
      </c>
      <c r="C235" s="1" t="n">
        <v>1260</v>
      </c>
      <c r="D235" s="1" t="n">
        <v>3.4</v>
      </c>
      <c r="E235" s="1" t="n">
        <v>850</v>
      </c>
      <c r="F235" s="1" t="s">
        <v>466</v>
      </c>
    </row>
    <row r="236" customFormat="false" ht="15" hidden="false" customHeight="false" outlineLevel="0" collapsed="false">
      <c r="A236" s="1" t="s">
        <v>546</v>
      </c>
      <c r="B236" s="1" t="s">
        <v>58</v>
      </c>
      <c r="C236" s="1" t="n">
        <v>687</v>
      </c>
      <c r="D236" s="1" t="n">
        <v>3.6</v>
      </c>
      <c r="E236" s="1" t="n">
        <v>900</v>
      </c>
      <c r="F236" s="1" t="s">
        <v>466</v>
      </c>
    </row>
    <row r="237" customFormat="false" ht="15" hidden="false" customHeight="false" outlineLevel="0" collapsed="false">
      <c r="A237" s="1" t="s">
        <v>547</v>
      </c>
      <c r="B237" s="1" t="s">
        <v>58</v>
      </c>
      <c r="C237" s="1" t="n">
        <v>767</v>
      </c>
      <c r="D237" s="1" t="n">
        <v>3.6</v>
      </c>
      <c r="E237" s="1" t="n">
        <v>900</v>
      </c>
      <c r="F237" s="1" t="s">
        <v>466</v>
      </c>
    </row>
    <row r="238" customFormat="false" ht="15" hidden="false" customHeight="false" outlineLevel="0" collapsed="false">
      <c r="A238" s="1" t="s">
        <v>548</v>
      </c>
      <c r="B238" s="1" t="s">
        <v>58</v>
      </c>
      <c r="C238" s="1" t="n">
        <v>872</v>
      </c>
      <c r="D238" s="1" t="n">
        <v>3.6</v>
      </c>
      <c r="E238" s="1" t="n">
        <v>900</v>
      </c>
      <c r="F238" s="1" t="s">
        <v>466</v>
      </c>
    </row>
    <row r="239" customFormat="false" ht="15" hidden="false" customHeight="false" outlineLevel="0" collapsed="false">
      <c r="A239" s="1" t="s">
        <v>549</v>
      </c>
      <c r="B239" s="1" t="s">
        <v>58</v>
      </c>
      <c r="C239" s="1" t="n">
        <v>1080</v>
      </c>
      <c r="D239" s="1" t="n">
        <v>3.6</v>
      </c>
      <c r="E239" s="1" t="n">
        <v>900</v>
      </c>
      <c r="F239" s="1" t="s">
        <v>466</v>
      </c>
    </row>
    <row r="240" customFormat="false" ht="15" hidden="false" customHeight="false" outlineLevel="0" collapsed="false">
      <c r="A240" s="1" t="s">
        <v>550</v>
      </c>
      <c r="B240" s="1" t="s">
        <v>58</v>
      </c>
      <c r="C240" s="1" t="n">
        <v>1210</v>
      </c>
      <c r="D240" s="1" t="n">
        <v>3.6</v>
      </c>
      <c r="E240" s="1" t="n">
        <v>900</v>
      </c>
      <c r="F240" s="1" t="s">
        <v>466</v>
      </c>
    </row>
    <row r="241" customFormat="false" ht="15" hidden="false" customHeight="false" outlineLevel="0" collapsed="false">
      <c r="A241" s="1" t="s">
        <v>551</v>
      </c>
      <c r="B241" s="1" t="s">
        <v>58</v>
      </c>
      <c r="C241" s="1" t="n">
        <v>1330</v>
      </c>
      <c r="D241" s="1" t="n">
        <v>3.6</v>
      </c>
      <c r="E241" s="1" t="n">
        <v>900</v>
      </c>
      <c r="F241" s="1" t="s">
        <v>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2026-04-08T13:00:58Z</dcterms:created>
  <dc:creator>openpyxl</dc:creator>
  <dc:description/>
  <dc:language>en-US</dc:language>
  <cp:lastModifiedBy/>
  <dcterms:modified xsi:type="dcterms:W3CDTF">2026-04-10T17:01:22Z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