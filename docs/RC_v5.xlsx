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-專案資訊" sheetId="1" state="visible" r:id="rId1"/>
    <sheet name="2-型式庫" sheetId="2" state="visible" r:id="rId2"/>
    <sheet name="3-柱" sheetId="3" state="visible" r:id="rId3"/>
    <sheet name="4-梁" sheetId="4" state="visible" r:id="rId4"/>
    <sheet name="5-樓板" sheetId="5" state="visible" r:id="rId5"/>
    <sheet name="6-牆" sheetId="6" state="visible" r:id="rId6"/>
    <sheet name="7-地坪" sheetId="7" state="visible" r:id="rId7"/>
    <sheet name="8-基礎" sheetId="8" state="visible" r:id="rId8"/>
    <sheet name="9-設備基礎" sheetId="9" state="visible" r:id="rId9"/>
    <sheet name="10-樓梯" sheetId="10" state="visible" r:id="rId10"/>
    <sheet name="11-開口扣除" sheetId="11" state="visible" r:id="rId11"/>
    <sheet name="12-彙總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496"/>
      <sz val="14"/>
    </font>
    <font>
      <name val="Noto Sans CJK SC"/>
      <family val="2"/>
      <b val="1"/>
      <color rgb="FF2F5496"/>
      <sz val="14"/>
    </font>
    <font>
      <name val="Noto Sans CJK SC"/>
      <charset val="1"/>
      <family val="2"/>
      <color rgb="FF808080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2F5496"/>
      <sz val="10"/>
    </font>
    <font>
      <name val="Noto Sans CJK SC"/>
      <charset val="1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color rgb="FF808080"/>
      <sz val="9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C00000"/>
      <sz val="10"/>
    </font>
    <font>
      <name val="Noto Sans CJK SC"/>
      <charset val="1"/>
      <family val="2"/>
      <b val="1"/>
      <color rgb="FF2F5496"/>
      <sz val="14"/>
    </font>
    <font>
      <name val="Arial"/>
      <charset val="1"/>
      <family val="0"/>
      <b val="1"/>
      <color rgb="FF0000FF"/>
      <sz val="12"/>
    </font>
    <font>
      <name val="Noto Sans CJK SC"/>
      <charset val="1"/>
      <family val="2"/>
      <b val="1"/>
      <sz val="11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C00000"/>
      <sz val="16"/>
    </font>
    <font>
      <name val="Noto Sans CJK SC"/>
      <family val="2"/>
      <b val="1"/>
      <color rgb="FFC00000"/>
      <sz val="16"/>
    </font>
    <font>
      <name val="Noto Sans CJK SC"/>
      <charset val="1"/>
      <family val="2"/>
      <color rgb="FFFF0000"/>
      <sz val="9"/>
    </font>
    <font>
      <name val="Arial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charset val="1"/>
      <family val="2"/>
      <b val="1"/>
      <sz val="12"/>
    </font>
    <font>
      <name val="Arial"/>
      <charset val="1"/>
      <family val="0"/>
      <b val="1"/>
      <color rgb="FFC00000"/>
      <sz val="14"/>
    </font>
  </fonts>
  <fills count="10">
    <fill>
      <patternFill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2F5496"/>
        <bgColor rgb="FF4472C4"/>
      </patternFill>
    </fill>
    <fill>
      <patternFill patternType="solid">
        <fgColor rgb="FFE2EFDA"/>
        <bgColor rgb="FFDAEEF3"/>
      </patternFill>
    </fill>
    <fill>
      <patternFill patternType="solid">
        <fgColor rgb="FF4472C4"/>
        <bgColor rgb="FF666699"/>
      </patternFill>
    </fill>
    <fill>
      <patternFill patternType="solid">
        <fgColor rgb="FFC00000"/>
        <bgColor rgb="FFFF0000"/>
      </patternFill>
    </fill>
    <fill>
      <patternFill patternType="solid">
        <fgColor rgb="FFDAEEF3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9" fontId="1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2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165" fontId="1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65" fontId="20" fillId="2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4" fontId="1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4" fontId="22" fillId="8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" fontId="18" fillId="0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4" fontId="22" fillId="9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3" fontId="22" fillId="8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3" fontId="29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1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9" fontId="10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2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165" fontId="1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165" fontId="20" fillId="2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4" fontId="18" fillId="4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4" fontId="22" fillId="8" borderId="1" applyAlignment="1" pivotButton="0" quotePrefix="0" xfId="0">
      <alignment horizontal="center" vertical="center" wrapText="1"/>
    </xf>
    <xf numFmtId="3" fontId="18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" fontId="18" fillId="0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4" fontId="22" fillId="9" borderId="1" applyAlignment="1" pivotButton="0" quotePrefix="0" xfId="0">
      <alignment horizontal="center" vertical="center" wrapText="1"/>
    </xf>
    <xf numFmtId="3" fontId="18" fillId="0" borderId="1" applyAlignment="1" pivotButton="0" quotePrefix="0" xfId="0">
      <alignment horizontal="center" vertical="center" wrapText="1"/>
    </xf>
    <xf numFmtId="3" fontId="22" fillId="8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0" fontId="28" fillId="8" borderId="1" applyAlignment="1" pivotButton="0" quotePrefix="0" xfId="0">
      <alignment horizontal="center" vertical="center" wrapText="1"/>
    </xf>
    <xf numFmtId="3" fontId="29" fillId="8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F5496"/>
    <outlinePr summaryBelow="1" summaryRight="1"/>
    <pageSetUpPr fitToPage="0"/>
  </sheetPr>
  <dimension ref="A1:J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7" min="1" max="1"/>
    <col width="14" customWidth="1" style="47" min="2" max="10"/>
  </cols>
  <sheetData>
    <row r="1" ht="21" customHeight="1" s="48">
      <c r="A1" s="49" t="inlineStr">
        <is>
          <t>RC 數量計算模板 v5</t>
        </is>
      </c>
    </row>
    <row r="2" ht="13.5" customHeight="1" s="48">
      <c r="A2" s="50" t="inlineStr">
        <is>
          <t>搭接40D / 彎鉤12D / FY自動判定 / 搭接次數統計</t>
        </is>
      </c>
    </row>
    <row r="4" ht="15" customHeight="1" s="48">
      <c r="A4" s="51" t="inlineStr">
        <is>
          <t>專案名稱</t>
        </is>
      </c>
      <c r="B4" s="52" t="n"/>
    </row>
    <row r="5" ht="15" customHeight="1" s="48">
      <c r="A5" s="51" t="inlineStr">
        <is>
          <t>填表日期</t>
        </is>
      </c>
      <c r="B5" s="52" t="n"/>
    </row>
    <row r="6" ht="15" customHeight="1" s="48">
      <c r="A6" s="51" t="inlineStr">
        <is>
          <t>填表人員</t>
        </is>
      </c>
      <c r="B6" s="52" t="n"/>
    </row>
    <row r="8" ht="15" customHeight="1" s="48">
      <c r="A8" s="53" t="inlineStr">
        <is>
          <t>▎ 全域單價設定</t>
        </is>
      </c>
    </row>
    <row r="9" ht="15" customHeight="1" s="48">
      <c r="A9" s="54" t="inlineStr">
        <is>
          <t>混凝土 fc'=210 kgf/cm2 (元/m3)</t>
        </is>
      </c>
      <c r="B9" s="55" t="n">
        <v>2800</v>
      </c>
      <c r="C9" s="50" t="inlineStr">
        <is>
          <t>地坪鋪面</t>
        </is>
      </c>
    </row>
    <row r="10" ht="15" customHeight="1" s="48">
      <c r="A10" s="54" t="inlineStr">
        <is>
          <t>混凝土 fc'=280 kgf/cm2 (元/m3)</t>
        </is>
      </c>
      <c r="B10" s="55" t="n">
        <v>3500</v>
      </c>
      <c r="C10" s="50" t="inlineStr">
        <is>
          <t>結構體</t>
        </is>
      </c>
    </row>
    <row r="11" ht="15" customHeight="1" s="48">
      <c r="A11" s="54" t="inlineStr">
        <is>
          <t>鋼筋SD280單價 (元/噸)</t>
        </is>
      </c>
      <c r="B11" s="55" t="n">
        <v>26000</v>
      </c>
      <c r="C11" s="50" t="n"/>
    </row>
    <row r="12" ht="15" customHeight="1" s="48">
      <c r="A12" s="54" t="inlineStr">
        <is>
          <t>鋼筋SD420單價 (元/噸)</t>
        </is>
      </c>
      <c r="B12" s="55" t="n">
        <v>28000</v>
      </c>
      <c r="C12" s="50" t="n"/>
    </row>
    <row r="13" ht="15" customHeight="1" s="48">
      <c r="A13" s="54" t="inlineStr">
        <is>
          <t>模板單價 (元/m2)</t>
        </is>
      </c>
      <c r="B13" s="55" t="n">
        <v>450</v>
      </c>
      <c r="C13" s="50" t="inlineStr">
        <is>
          <t>含支撐</t>
        </is>
      </c>
    </row>
    <row r="14" ht="15" customHeight="1" s="48">
      <c r="A14" s="54" t="inlineStr">
        <is>
          <t>粉光單價 (元/m2)</t>
        </is>
      </c>
      <c r="B14" s="55" t="n">
        <v>250</v>
      </c>
      <c r="C14" s="50" t="n"/>
    </row>
    <row r="15" ht="15" customHeight="1" s="48">
      <c r="A15" s="56" t="inlineStr">
        <is>
          <t>PC墊層 fc'=140 kgf/cm2 (元/m3)</t>
        </is>
      </c>
      <c r="B15" s="55" t="n">
        <v>2500</v>
      </c>
      <c r="C15" s="50" t="n"/>
    </row>
    <row r="16" ht="15" customHeight="1" s="48">
      <c r="A16" s="54" t="inlineStr">
        <is>
          <t>開挖單價 (元/m3)</t>
        </is>
      </c>
      <c r="B16" s="55" t="n">
        <v>180</v>
      </c>
      <c r="C16" s="50" t="inlineStr">
        <is>
          <t>機械開挖</t>
        </is>
      </c>
    </row>
    <row r="17" ht="15" customHeight="1" s="48">
      <c r="A17" s="54" t="inlineStr">
        <is>
          <t>回填單價 (元/m3)</t>
        </is>
      </c>
      <c r="B17" s="55" t="n">
        <v>150</v>
      </c>
      <c r="C17" s="50" t="inlineStr">
        <is>
          <t>夯實</t>
        </is>
      </c>
    </row>
    <row r="18" ht="15" customHeight="1" s="48">
      <c r="A18" s="54" t="inlineStr">
        <is>
          <t>鋼絲網單價 (元/噸)</t>
        </is>
      </c>
      <c r="B18" s="55" t="n">
        <v>35000</v>
      </c>
      <c r="C18" s="50" t="n"/>
    </row>
    <row r="19" ht="15" customHeight="1" s="48">
      <c r="A19" s="54" t="inlineStr">
        <is>
          <t>鋼筋損耗率</t>
        </is>
      </c>
      <c r="B19" s="57" t="n">
        <v>0</v>
      </c>
      <c r="C19" s="58" t="inlineStr">
        <is>
          <t>0%</t>
        </is>
      </c>
    </row>
    <row r="20" ht="15" customHeight="1" s="48">
      <c r="A20" s="54" t="inlineStr">
        <is>
          <t>模板損耗率</t>
        </is>
      </c>
      <c r="B20" s="57" t="n">
        <v>0.05</v>
      </c>
      <c r="C20" s="50" t="n"/>
    </row>
    <row r="23" ht="15" customHeight="1" s="48">
      <c r="A23" s="53" t="inlineStr">
        <is>
          <t>▎ 鋼筋規格表（#3~#5=SD280, #6~#11=SD420）</t>
        </is>
      </c>
    </row>
    <row r="24" ht="15" customHeight="1" s="48">
      <c r="A24" s="59" t="inlineStr">
        <is>
          <t>鋼筋號數</t>
        </is>
      </c>
      <c r="B24" s="60" t="inlineStr">
        <is>
          <t>db (mm)</t>
        </is>
      </c>
      <c r="C24" s="60" t="inlineStr">
        <is>
          <t>As (cm2)</t>
        </is>
      </c>
      <c r="D24" s="59" t="inlineStr">
        <is>
          <t>單位重 (kg/m)</t>
        </is>
      </c>
      <c r="E24" s="60" t="inlineStr">
        <is>
          <t>db (cm)</t>
        </is>
      </c>
      <c r="F24" s="60" t="inlineStr">
        <is>
          <t>FY等級</t>
        </is>
      </c>
      <c r="G24" s="60" t="inlineStr">
        <is>
          <t>fy (kgf/cm2)</t>
        </is>
      </c>
      <c r="H24" s="59" t="inlineStr">
        <is>
          <t>搭接40D (cm)</t>
        </is>
      </c>
      <c r="I24" s="59" t="inlineStr">
        <is>
          <t>彎鉤12D (cm)</t>
        </is>
      </c>
    </row>
    <row r="25" ht="15" customHeight="1" s="48">
      <c r="A25" s="61" t="inlineStr">
        <is>
          <t>#3 (D10)</t>
        </is>
      </c>
      <c r="B25" s="62" t="n">
        <v>9.529999999999999</v>
      </c>
      <c r="C25" s="63" t="n">
        <v>0.7133</v>
      </c>
      <c r="D25" s="63" t="n">
        <v>0.5600000000000001</v>
      </c>
      <c r="E25" s="63" t="n">
        <v>0.953</v>
      </c>
      <c r="F25" s="64" t="inlineStr">
        <is>
          <t>SD280</t>
        </is>
      </c>
      <c r="G25" s="65" t="n">
        <v>2800</v>
      </c>
      <c r="H25" s="66" t="n">
        <v>38.1</v>
      </c>
      <c r="I25" s="66" t="n">
        <v>11.4</v>
      </c>
    </row>
    <row r="26" ht="15" customHeight="1" s="48">
      <c r="A26" s="61" t="inlineStr">
        <is>
          <t>#4 (D13)</t>
        </is>
      </c>
      <c r="B26" s="62" t="n">
        <v>12.7</v>
      </c>
      <c r="C26" s="63" t="n">
        <v>1.267</v>
      </c>
      <c r="D26" s="63" t="n">
        <v>0.994</v>
      </c>
      <c r="E26" s="63" t="n">
        <v>1.27</v>
      </c>
      <c r="F26" s="64" t="inlineStr">
        <is>
          <t>SD280</t>
        </is>
      </c>
      <c r="G26" s="65" t="n">
        <v>2800</v>
      </c>
      <c r="H26" s="66" t="n">
        <v>50.8</v>
      </c>
      <c r="I26" s="66" t="n">
        <v>15.2</v>
      </c>
    </row>
    <row r="27" ht="15" customHeight="1" s="48">
      <c r="A27" s="61" t="inlineStr">
        <is>
          <t>#5 (D16)</t>
        </is>
      </c>
      <c r="B27" s="62" t="n">
        <v>15.88</v>
      </c>
      <c r="C27" s="63" t="n">
        <v>1.979</v>
      </c>
      <c r="D27" s="63" t="n">
        <v>1.56</v>
      </c>
      <c r="E27" s="63" t="n">
        <v>1.588</v>
      </c>
      <c r="F27" s="64" t="inlineStr">
        <is>
          <t>SD280</t>
        </is>
      </c>
      <c r="G27" s="65" t="n">
        <v>2800</v>
      </c>
      <c r="H27" s="66" t="n">
        <v>63.5</v>
      </c>
      <c r="I27" s="66" t="n">
        <v>19.1</v>
      </c>
    </row>
    <row r="28" ht="15" customHeight="1" s="48">
      <c r="A28" s="61" t="inlineStr">
        <is>
          <t>#6 (D19)</t>
        </is>
      </c>
      <c r="B28" s="62" t="n">
        <v>19.05</v>
      </c>
      <c r="C28" s="63" t="n">
        <v>2.85</v>
      </c>
      <c r="D28" s="63" t="n">
        <v>2.24</v>
      </c>
      <c r="E28" s="63" t="n">
        <v>1.905</v>
      </c>
      <c r="F28" s="64" t="inlineStr">
        <is>
          <t>SD420</t>
        </is>
      </c>
      <c r="G28" s="65" t="n">
        <v>4200</v>
      </c>
      <c r="H28" s="66" t="n">
        <v>76.2</v>
      </c>
      <c r="I28" s="66" t="n">
        <v>22.9</v>
      </c>
    </row>
    <row r="29" ht="15" customHeight="1" s="48">
      <c r="A29" s="61" t="inlineStr">
        <is>
          <t>#7 (D22)</t>
        </is>
      </c>
      <c r="B29" s="62" t="n">
        <v>22.23</v>
      </c>
      <c r="C29" s="63" t="n">
        <v>3.871</v>
      </c>
      <c r="D29" s="63" t="n">
        <v>3.04</v>
      </c>
      <c r="E29" s="63" t="n">
        <v>2.223</v>
      </c>
      <c r="F29" s="64" t="inlineStr">
        <is>
          <t>SD420</t>
        </is>
      </c>
      <c r="G29" s="65" t="n">
        <v>4200</v>
      </c>
      <c r="H29" s="66" t="n">
        <v>88.90000000000001</v>
      </c>
      <c r="I29" s="66" t="n">
        <v>26.7</v>
      </c>
    </row>
    <row r="30" ht="15" customHeight="1" s="48">
      <c r="A30" s="61" t="inlineStr">
        <is>
          <t>#8 (D25)</t>
        </is>
      </c>
      <c r="B30" s="62" t="n">
        <v>25.4</v>
      </c>
      <c r="C30" s="63" t="n">
        <v>5.067</v>
      </c>
      <c r="D30" s="63" t="n">
        <v>3.98</v>
      </c>
      <c r="E30" s="63" t="n">
        <v>2.54</v>
      </c>
      <c r="F30" s="64" t="inlineStr">
        <is>
          <t>SD420</t>
        </is>
      </c>
      <c r="G30" s="65" t="n">
        <v>4200</v>
      </c>
      <c r="H30" s="66" t="n">
        <v>101.6</v>
      </c>
      <c r="I30" s="66" t="n">
        <v>30.5</v>
      </c>
    </row>
    <row r="31" ht="15" customHeight="1" s="48">
      <c r="A31" s="61" t="inlineStr">
        <is>
          <t>#9 (D29)</t>
        </is>
      </c>
      <c r="B31" s="62" t="n">
        <v>28.65</v>
      </c>
      <c r="C31" s="63" t="n">
        <v>6.469</v>
      </c>
      <c r="D31" s="63" t="n">
        <v>5.08</v>
      </c>
      <c r="E31" s="63" t="n">
        <v>2.865</v>
      </c>
      <c r="F31" s="64" t="inlineStr">
        <is>
          <t>SD420</t>
        </is>
      </c>
      <c r="G31" s="65" t="n">
        <v>4200</v>
      </c>
      <c r="H31" s="66" t="n">
        <v>114.6</v>
      </c>
      <c r="I31" s="66" t="n">
        <v>34.4</v>
      </c>
    </row>
    <row r="32" ht="15" customHeight="1" s="48">
      <c r="A32" s="61" t="inlineStr">
        <is>
          <t>#10 (D32)</t>
        </is>
      </c>
      <c r="B32" s="62" t="n">
        <v>32.26</v>
      </c>
      <c r="C32" s="63" t="n">
        <v>8.143000000000001</v>
      </c>
      <c r="D32" s="63" t="n">
        <v>6.39</v>
      </c>
      <c r="E32" s="63" t="n">
        <v>3.226</v>
      </c>
      <c r="F32" s="64" t="inlineStr">
        <is>
          <t>SD420</t>
        </is>
      </c>
      <c r="G32" s="65" t="n">
        <v>4200</v>
      </c>
      <c r="H32" s="66" t="n">
        <v>129</v>
      </c>
      <c r="I32" s="66" t="n">
        <v>38.7</v>
      </c>
    </row>
    <row r="33" ht="15" customHeight="1" s="48">
      <c r="A33" s="61" t="inlineStr">
        <is>
          <t>#11 (D36)</t>
        </is>
      </c>
      <c r="B33" s="62" t="n">
        <v>35.81</v>
      </c>
      <c r="C33" s="63" t="n">
        <v>10.07</v>
      </c>
      <c r="D33" s="63" t="n">
        <v>7.9</v>
      </c>
      <c r="E33" s="63" t="n">
        <v>3.581</v>
      </c>
      <c r="F33" s="64" t="inlineStr">
        <is>
          <t>SD420</t>
        </is>
      </c>
      <c r="G33" s="65" t="n">
        <v>4200</v>
      </c>
      <c r="H33" s="66" t="n">
        <v>143.2</v>
      </c>
      <c r="I33" s="66" t="n">
        <v>43</v>
      </c>
    </row>
    <row r="36" ht="15" customHeight="1" s="48">
      <c r="A36" s="53" t="inlineStr">
        <is>
          <t>▎ 鋼絲網規格表</t>
        </is>
      </c>
    </row>
    <row r="37" ht="15" customHeight="1" s="48">
      <c r="A37" s="59" t="inlineStr">
        <is>
          <t>規格</t>
        </is>
      </c>
      <c r="B37" s="59" t="inlineStr">
        <is>
          <t>單位重 (kg/m2)</t>
        </is>
      </c>
    </row>
    <row r="38" ht="15" customHeight="1" s="48">
      <c r="A38" s="61" t="inlineStr">
        <is>
          <t>φ6@150x150</t>
        </is>
      </c>
      <c r="B38" s="62" t="n">
        <v>3.7</v>
      </c>
    </row>
    <row r="39" ht="15" customHeight="1" s="48">
      <c r="A39" s="61" t="n"/>
      <c r="B39" s="62" t="n"/>
    </row>
    <row r="40" ht="15" customHeight="1" s="48">
      <c r="A40" s="61" t="n"/>
      <c r="B40" s="62" t="n"/>
    </row>
    <row r="41" ht="15" customHeight="1" s="48">
      <c r="A41" s="61" t="n"/>
      <c r="B41" s="62" t="n"/>
    </row>
    <row r="42" ht="15" customHeight="1" s="48">
      <c r="A42" s="61" t="n"/>
      <c r="B42" s="62" t="n"/>
    </row>
    <row r="43" ht="15" customHeight="1" s="48">
      <c r="A43" s="61" t="n"/>
      <c r="B43" s="62" t="n"/>
    </row>
    <row r="44" ht="15" customHeight="1" s="48">
      <c r="A44" s="61" t="n"/>
      <c r="B44" s="62" t="n"/>
    </row>
    <row r="45" ht="15" customHeight="1" s="48">
      <c r="A45" s="61" t="n"/>
      <c r="B45" s="62" t="n"/>
    </row>
    <row r="46" ht="15" customHeight="1" s="48">
      <c r="A46" s="61" t="n"/>
      <c r="B46" s="62" t="n"/>
    </row>
    <row r="47" ht="15" customHeight="1" s="48">
      <c r="A47" s="61" t="n"/>
      <c r="B47" s="62" t="n"/>
    </row>
    <row r="48" ht="15" customHeight="1" s="48">
      <c r="A48" s="61" t="n"/>
      <c r="B48" s="62" t="n"/>
    </row>
    <row r="51" ht="15" customHeight="1" s="48">
      <c r="A51" s="53" t="inlineStr">
        <is>
          <t>▎ 數量計算基準</t>
        </is>
      </c>
    </row>
    <row r="52" ht="15" customHeight="1" s="48">
      <c r="A52" s="59" t="inlineStr">
        <is>
          <t>項目</t>
        </is>
      </c>
      <c r="B52" s="59" t="inlineStr">
        <is>
          <t>規定</t>
        </is>
      </c>
    </row>
    <row r="53" ht="15" customHeight="1" s="48">
      <c r="A53" s="67" t="inlineStr">
        <is>
          <t>鋼筋搭接</t>
        </is>
      </c>
      <c r="B53" s="61" t="inlineStr">
        <is>
          <t>40D</t>
        </is>
      </c>
    </row>
    <row r="54" ht="15" customHeight="1" s="48">
      <c r="A54" s="67" t="inlineStr">
        <is>
          <t>鋼筋彎鉤</t>
        </is>
      </c>
      <c r="B54" s="61" t="inlineStr">
        <is>
          <t>12D</t>
        </is>
      </c>
    </row>
    <row r="55" ht="23.25" customHeight="1" s="48">
      <c r="A55" s="61" t="inlineStr">
        <is>
          <t>FY判定</t>
        </is>
      </c>
      <c r="B55" s="61" t="inlineStr">
        <is>
          <t>#3~#5=SD280; #6~#11=SD420</t>
        </is>
      </c>
    </row>
    <row r="56" ht="15" customHeight="1" s="48">
      <c r="A56" s="67" t="inlineStr">
        <is>
          <t>鋼筋損耗</t>
        </is>
      </c>
      <c r="B56" s="61" t="inlineStr">
        <is>
          <t>0%</t>
        </is>
      </c>
    </row>
    <row r="57" ht="15" customHeight="1" s="48">
      <c r="A57" s="67" t="inlineStr">
        <is>
          <t>尺寸量測</t>
        </is>
      </c>
      <c r="B57" s="67" t="inlineStr">
        <is>
          <t>柱心到柱心</t>
        </is>
      </c>
    </row>
    <row r="58" ht="15" customHeight="1" s="48">
      <c r="A58" s="67" t="inlineStr">
        <is>
          <t>混凝土</t>
        </is>
      </c>
      <c r="B58" s="67" t="inlineStr">
        <is>
          <t>不扣鋼筋重</t>
        </is>
      </c>
    </row>
    <row r="59" ht="15" customHeight="1" s="48">
      <c r="A59" s="67" t="inlineStr">
        <is>
          <t>開挖</t>
        </is>
      </c>
      <c r="B59" s="67" t="inlineStr">
        <is>
          <t>梯形計算(實方)</t>
        </is>
      </c>
    </row>
    <row r="60" ht="15" customHeight="1" s="48">
      <c r="A60" s="67" t="inlineStr">
        <is>
          <t>回填</t>
        </is>
      </c>
      <c r="B60" s="67" t="inlineStr">
        <is>
          <t>扣除混凝土體積</t>
        </is>
      </c>
    </row>
    <row r="61" ht="15" customHeight="1" s="48">
      <c r="A61" s="67" t="inlineStr">
        <is>
          <t>粉光</t>
        </is>
      </c>
      <c r="B61" s="67" t="inlineStr">
        <is>
          <t>不扣柱基礎</t>
        </is>
      </c>
    </row>
    <row r="62" ht="15" customHeight="1" s="48">
      <c r="A62" s="67" t="inlineStr">
        <is>
          <t>模板</t>
        </is>
      </c>
      <c r="B62" s="67" t="inlineStr">
        <is>
          <t>門窗內緣不計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7" min="1" max="1"/>
    <col width="8" customWidth="1" style="47" min="2" max="2"/>
    <col width="28" customWidth="1" style="47" min="3" max="3"/>
    <col width="12" customWidth="1" style="47" min="4" max="4"/>
    <col width="8" customWidth="1" style="47" min="5" max="5"/>
    <col width="12" customWidth="1" style="47" min="6" max="6"/>
    <col width="10" customWidth="1" style="47" min="7" max="7"/>
    <col width="8" customWidth="1" style="47" min="8" max="8"/>
    <col width="12" customWidth="1" style="47" min="9" max="9"/>
    <col width="10" customWidth="1" style="47" min="10" max="11"/>
    <col width="12" customWidth="1" style="47" min="12" max="12"/>
  </cols>
  <sheetData>
    <row r="1" ht="17.25" customHeight="1" s="48">
      <c r="A1" s="68" t="inlineStr">
        <is>
          <t>配筋型式庫</t>
        </is>
      </c>
    </row>
    <row r="4" ht="15" customHeight="1" s="48">
      <c r="A4" s="53" t="inlineStr">
        <is>
          <t>▎ 柱</t>
        </is>
      </c>
    </row>
    <row r="5" ht="15" customHeight="1" s="48">
      <c r="A5" s="59" t="inlineStr">
        <is>
          <t>代號</t>
        </is>
      </c>
      <c r="B5" s="59" t="inlineStr">
        <is>
          <t>描述</t>
        </is>
      </c>
      <c r="C5" s="59" t="inlineStr">
        <is>
          <t>主筋</t>
        </is>
      </c>
      <c r="D5" s="59" t="inlineStr">
        <is>
          <t>支數</t>
        </is>
      </c>
      <c r="E5" s="59" t="inlineStr">
        <is>
          <t>箍筋</t>
        </is>
      </c>
      <c r="F5" s="59" t="inlineStr">
        <is>
          <t>間距</t>
        </is>
      </c>
      <c r="G5" s="59" t="inlineStr">
        <is>
          <t>繫筋</t>
        </is>
      </c>
    </row>
    <row r="6" ht="23.25" customHeight="1" s="48">
      <c r="A6" s="61" t="inlineStr">
        <is>
          <t>C-01</t>
        </is>
      </c>
      <c r="B6" s="61" t="inlineStr">
        <is>
          <t>40x40-8#7</t>
        </is>
      </c>
      <c r="C6" s="69" t="inlineStr">
        <is>
          <t>#7 (D22)</t>
        </is>
      </c>
      <c r="D6" s="69" t="n">
        <v>8</v>
      </c>
      <c r="E6" s="69" t="inlineStr">
        <is>
          <t>#4 (D13)</t>
        </is>
      </c>
      <c r="F6" s="69" t="n">
        <v>150</v>
      </c>
      <c r="G6" s="69" t="n">
        <v>0</v>
      </c>
    </row>
    <row r="7" ht="37.5" customHeight="1" s="48">
      <c r="A7" s="61" t="inlineStr">
        <is>
          <t>C-02</t>
        </is>
      </c>
      <c r="B7" s="61" t="inlineStr">
        <is>
          <t>60x60-12#8+4繫</t>
        </is>
      </c>
      <c r="C7" s="69" t="inlineStr">
        <is>
          <t>#8 (D25)</t>
        </is>
      </c>
      <c r="D7" s="69" t="n">
        <v>12</v>
      </c>
      <c r="E7" s="69" t="inlineStr">
        <is>
          <t>#4 (D13)</t>
        </is>
      </c>
      <c r="F7" s="69" t="n">
        <v>150</v>
      </c>
      <c r="G7" s="69" t="n">
        <v>4</v>
      </c>
    </row>
    <row r="10" ht="15" customHeight="1" s="48">
      <c r="A10" s="53" t="inlineStr">
        <is>
          <t>▎ 梁</t>
        </is>
      </c>
    </row>
    <row r="11" ht="15" customHeight="1" s="48">
      <c r="A11" s="59" t="inlineStr">
        <is>
          <t>代號</t>
        </is>
      </c>
      <c r="B11" s="59" t="inlineStr">
        <is>
          <t>描述</t>
        </is>
      </c>
      <c r="C11" s="59" t="inlineStr">
        <is>
          <t>上筋</t>
        </is>
      </c>
      <c r="D11" s="59" t="inlineStr">
        <is>
          <t>上支</t>
        </is>
      </c>
      <c r="E11" s="59" t="inlineStr">
        <is>
          <t>下筋</t>
        </is>
      </c>
      <c r="F11" s="59" t="inlineStr">
        <is>
          <t>下支</t>
        </is>
      </c>
      <c r="G11" s="59" t="inlineStr">
        <is>
          <t>箍筋</t>
        </is>
      </c>
      <c r="H11" s="59" t="inlineStr">
        <is>
          <t>密箍</t>
        </is>
      </c>
      <c r="I11" s="59" t="inlineStr">
        <is>
          <t>疏箍</t>
        </is>
      </c>
      <c r="J11" s="59" t="inlineStr">
        <is>
          <t>腰筋</t>
        </is>
      </c>
    </row>
    <row r="12" ht="15" customHeight="1" s="48">
      <c r="A12" s="61" t="inlineStr">
        <is>
          <t>G-01</t>
        </is>
      </c>
      <c r="B12" s="61" t="inlineStr">
        <is>
          <t>30x60</t>
        </is>
      </c>
      <c r="C12" s="69" t="inlineStr">
        <is>
          <t>#8 (D25)</t>
        </is>
      </c>
      <c r="D12" s="69" t="n">
        <v>3</v>
      </c>
      <c r="E12" s="69" t="inlineStr">
        <is>
          <t>#8 (D25)</t>
        </is>
      </c>
      <c r="F12" s="69" t="n">
        <v>4</v>
      </c>
      <c r="G12" s="69" t="inlineStr">
        <is>
          <t>#4 (D13)</t>
        </is>
      </c>
      <c r="H12" s="69" t="n">
        <v>150</v>
      </c>
      <c r="I12" s="69" t="n">
        <v>200</v>
      </c>
      <c r="J12" s="69" t="n">
        <v>0</v>
      </c>
    </row>
    <row r="13" ht="15" customHeight="1" s="48">
      <c r="A13" s="61" t="inlineStr">
        <is>
          <t>B-01</t>
        </is>
      </c>
      <c r="B13" s="61" t="inlineStr">
        <is>
          <t>25x45</t>
        </is>
      </c>
      <c r="C13" s="69" t="inlineStr">
        <is>
          <t>#6 (D19)</t>
        </is>
      </c>
      <c r="D13" s="69" t="n">
        <v>2</v>
      </c>
      <c r="E13" s="69" t="inlineStr">
        <is>
          <t>#6 (D19)</t>
        </is>
      </c>
      <c r="F13" s="69" t="n">
        <v>3</v>
      </c>
      <c r="G13" s="69" t="inlineStr">
        <is>
          <t>#3 (D10)</t>
        </is>
      </c>
      <c r="H13" s="69" t="n">
        <v>200</v>
      </c>
      <c r="I13" s="69" t="n">
        <v>200</v>
      </c>
      <c r="J13" s="69" t="n">
        <v>0</v>
      </c>
    </row>
    <row r="16" ht="15" customHeight="1" s="48">
      <c r="A16" s="53" t="inlineStr">
        <is>
          <t>▎ 版/牆/地坪/基礎/樓梯</t>
        </is>
      </c>
    </row>
    <row r="17" ht="15" customHeight="1" s="48">
      <c r="A17" s="59" t="inlineStr">
        <is>
          <t>代號</t>
        </is>
      </c>
      <c r="B17" s="59" t="inlineStr">
        <is>
          <t>描述</t>
        </is>
      </c>
      <c r="C17" s="59" t="inlineStr">
        <is>
          <t>筋號數</t>
        </is>
      </c>
      <c r="D17" s="59" t="inlineStr">
        <is>
          <t>間距</t>
        </is>
      </c>
      <c r="E17" s="59" t="inlineStr">
        <is>
          <t>鋼絲網</t>
        </is>
      </c>
      <c r="F17" s="59" t="inlineStr">
        <is>
          <t>備註</t>
        </is>
      </c>
    </row>
    <row r="18" ht="40.5" customHeight="1" s="48">
      <c r="A18" s="61" t="inlineStr">
        <is>
          <t>S-01</t>
        </is>
      </c>
      <c r="B18" s="67" t="inlineStr">
        <is>
          <t>版t=15 #4@200雙層</t>
        </is>
      </c>
      <c r="C18" s="69" t="inlineStr">
        <is>
          <t>#4 (D13)</t>
        </is>
      </c>
      <c r="D18" s="69" t="n">
        <v>200</v>
      </c>
      <c r="E18" s="70" t="inlineStr">
        <is>
          <t>無</t>
        </is>
      </c>
      <c r="F18" s="69" t="inlineStr">
        <is>
          <t>fc280</t>
        </is>
      </c>
    </row>
    <row r="19" ht="40.5" customHeight="1" s="48">
      <c r="A19" s="61" t="inlineStr">
        <is>
          <t>W-01</t>
        </is>
      </c>
      <c r="B19" s="67" t="inlineStr">
        <is>
          <t>牆t=20 #4@200雙面</t>
        </is>
      </c>
      <c r="C19" s="69" t="inlineStr">
        <is>
          <t>#4 (D13)</t>
        </is>
      </c>
      <c r="D19" s="70" t="n">
        <v>200</v>
      </c>
      <c r="E19" s="70" t="inlineStr">
        <is>
          <t>無</t>
        </is>
      </c>
      <c r="F19" s="69" t="inlineStr">
        <is>
          <t>fc280</t>
        </is>
      </c>
    </row>
    <row r="20" ht="37.5" customHeight="1" s="48">
      <c r="A20" s="61" t="inlineStr">
        <is>
          <t>F-01</t>
        </is>
      </c>
      <c r="B20" s="67" t="inlineStr">
        <is>
          <t>地坪t=15 WWM+#4</t>
        </is>
      </c>
      <c r="C20" s="69" t="inlineStr">
        <is>
          <t>#4 (D13)</t>
        </is>
      </c>
      <c r="D20" s="70" t="n">
        <v>200</v>
      </c>
      <c r="E20" s="69" t="inlineStr">
        <is>
          <t>φ4.0@150x150</t>
        </is>
      </c>
      <c r="F20" s="69" t="inlineStr">
        <is>
          <t>fc210</t>
        </is>
      </c>
    </row>
    <row r="21" ht="26.25" customHeight="1" s="48">
      <c r="A21" s="61" t="inlineStr">
        <is>
          <t>FD-01</t>
        </is>
      </c>
      <c r="B21" s="67" t="inlineStr">
        <is>
          <t>獨基 #6@200</t>
        </is>
      </c>
      <c r="C21" s="69" t="inlineStr">
        <is>
          <t>#6 (D19)</t>
        </is>
      </c>
      <c r="D21" s="70" t="n">
        <v>200</v>
      </c>
      <c r="E21" s="70" t="inlineStr">
        <is>
          <t>無</t>
        </is>
      </c>
      <c r="F21" s="69" t="inlineStr">
        <is>
          <t>fc280</t>
        </is>
      </c>
    </row>
    <row r="22" ht="26.25" customHeight="1" s="48">
      <c r="A22" s="61" t="inlineStr">
        <is>
          <t>EQ-01</t>
        </is>
      </c>
      <c r="B22" s="67" t="inlineStr">
        <is>
          <t>小設備 #4@200</t>
        </is>
      </c>
      <c r="C22" s="69" t="inlineStr">
        <is>
          <t>#4 (D13)</t>
        </is>
      </c>
      <c r="D22" s="70" t="n">
        <v>200</v>
      </c>
      <c r="E22" s="69" t="inlineStr">
        <is>
          <t>φ4.0@150x150</t>
        </is>
      </c>
      <c r="F22" s="69" t="inlineStr">
        <is>
          <t>fc280</t>
        </is>
      </c>
    </row>
    <row r="23" ht="26.25" customHeight="1" s="48">
      <c r="A23" s="61" t="inlineStr">
        <is>
          <t>ST-01</t>
        </is>
      </c>
      <c r="B23" s="67" t="inlineStr">
        <is>
          <t>樓梯t=18 #5@150</t>
        </is>
      </c>
      <c r="C23" s="69" t="inlineStr">
        <is>
          <t>#5 (D16)</t>
        </is>
      </c>
      <c r="D23" s="70" t="n">
        <v>150</v>
      </c>
      <c r="E23" s="70" t="inlineStr">
        <is>
          <t>無</t>
        </is>
      </c>
      <c r="F23" s="69" t="inlineStr">
        <is>
          <t>fc280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X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3"/>
    <col width="10" customWidth="1" style="47" min="4" max="4"/>
    <col width="9" customWidth="1" style="47" min="5" max="7"/>
    <col width="7" customWidth="1" style="47" min="8" max="8"/>
    <col width="12" customWidth="1" style="47" min="9" max="9"/>
    <col width="7" customWidth="1" style="47" min="10" max="10"/>
    <col width="12" customWidth="1" style="47" min="11" max="11"/>
    <col width="9" customWidth="1" style="47" min="12" max="12"/>
    <col width="7" customWidth="1" style="47" min="13" max="13"/>
    <col width="11" customWidth="1" style="47" min="14" max="20"/>
    <col width="12" customWidth="1" style="47" min="21" max="22"/>
  </cols>
  <sheetData>
    <row r="1" ht="17.25" customHeight="1" s="48">
      <c r="A1" s="68" t="inlineStr">
        <is>
          <t>柱 數量計算表</t>
        </is>
      </c>
    </row>
    <row r="2" ht="13.5" customHeight="1" s="48">
      <c r="A2" s="50" t="inlineStr">
        <is>
          <t>主筋含搭接40D。箍筋繫筋含12D彎鉤。B3=預設鋼筋長度。</t>
        </is>
      </c>
    </row>
    <row r="3" ht="15" customHeight="1" s="48">
      <c r="A3" s="51" t="inlineStr">
        <is>
          <t>預設鋼筋長度 (m):</t>
        </is>
      </c>
      <c r="B3" s="71" t="n">
        <v>6</v>
      </c>
      <c r="C3" s="50" t="inlineStr">
        <is>
          <t>← 可調整</t>
        </is>
      </c>
    </row>
    <row r="4" ht="29.2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柱編號</t>
        </is>
      </c>
      <c r="D4" s="59" t="inlineStr">
        <is>
          <t>▼型式</t>
        </is>
      </c>
      <c r="E4" s="60" t="inlineStr">
        <is>
          <t>B (mm)</t>
        </is>
      </c>
      <c r="F4" s="60" t="inlineStr">
        <is>
          <t>D (mm)</t>
        </is>
      </c>
      <c r="G4" s="60" t="inlineStr">
        <is>
          <t>H (mm)</t>
        </is>
      </c>
      <c r="H4" s="59" t="inlineStr">
        <is>
          <t>數量</t>
        </is>
      </c>
      <c r="I4" s="59" t="inlineStr">
        <is>
          <t>▼主筋</t>
        </is>
      </c>
      <c r="J4" s="59" t="inlineStr">
        <is>
          <t>支數</t>
        </is>
      </c>
      <c r="K4" s="59" t="inlineStr">
        <is>
          <t>▼箍筋</t>
        </is>
      </c>
      <c r="L4" s="59" t="inlineStr">
        <is>
          <t>間距 (mm)</t>
        </is>
      </c>
      <c r="M4" s="59" t="inlineStr">
        <is>
          <t>繫筋</t>
        </is>
      </c>
      <c r="N4" s="59" t="inlineStr">
        <is>
          <t>混凝土 (m3)</t>
        </is>
      </c>
      <c r="O4" s="59" t="inlineStr">
        <is>
          <t>主筋重 (kg)</t>
        </is>
      </c>
      <c r="P4" s="59" t="inlineStr">
        <is>
          <t>箍筋重 (kg)</t>
        </is>
      </c>
      <c r="Q4" s="59" t="inlineStr">
        <is>
          <t>繫筋重 (kg)</t>
        </is>
      </c>
      <c r="R4" s="59" t="inlineStr">
        <is>
          <t>模板 (m2)</t>
        </is>
      </c>
      <c r="S4" s="59" t="inlineStr">
        <is>
          <t>主筋搭接次數</t>
        </is>
      </c>
      <c r="T4" s="59" t="inlineStr">
        <is>
          <t>搭接長度 (m)</t>
        </is>
      </c>
      <c r="U4" s="72" t="inlineStr">
        <is>
          <t>SD280 (kg)</t>
        </is>
      </c>
      <c r="V4" s="73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 t="n"/>
      <c r="H5" s="70" t="n"/>
      <c r="I5" s="74" t="n"/>
      <c r="J5" s="70" t="n"/>
      <c r="K5" s="74" t="n"/>
      <c r="L5" s="70" t="n"/>
      <c r="M5" s="70" t="n"/>
      <c r="N5" s="75">
        <f>IF(AND(E5&lt;&gt;"",F5&lt;&gt;"",G5&lt;&gt;"",H5&lt;&gt;""),E5*F5*G5/1000000000*H5,0)</f>
        <v/>
      </c>
      <c r="O5" s="75">
        <f>IF(AND(I5&lt;&gt;"",J5&lt;&gt;"",G5&lt;&gt;"",H5&lt;&gt;""),VLOOKUP(I5,'1-專案資訊'!A25:I33,4,0)*(G5/1000+VLOOKUP(I5,'1-專案資訊'!A25:I33,8,0)/100)*J5*H5,0)</f>
        <v/>
      </c>
      <c r="P5" s="75">
        <f>IF(AND(K5&lt;&gt;"",L5&lt;&gt;"",E5&lt;&gt;"",F5&lt;&gt;"",G5&lt;&gt;"",H5&lt;&gt;""),VLOOKUP(K5,'1-專案資訊'!A25:I33,4,0)*(2*((E5+F5)/1000-0.08)+2*VLOOKUP(K5,'1-專案資訊'!A25:I33,9,0)/100)*(G5/L5+1)*H5,0)</f>
        <v/>
      </c>
      <c r="Q5" s="75">
        <f>IF(AND(K5&lt;&gt;"",M5&gt;0,L5&lt;&gt;"",E5&lt;&gt;"",G5&lt;&gt;"",H5&lt;&gt;""),VLOOKUP(K5,'1-專案資訊'!A25:I33,4,0)*(MAX(E5,F5)/1000-0.08+2*VLOOKUP(K5,'1-專案資訊'!A25:I33,9,0)/100)*M5*(G5/L5+1)*H5,0)</f>
        <v/>
      </c>
      <c r="R5" s="75">
        <f>IF(AND(E5&lt;&gt;"",F5&lt;&gt;"",G5&lt;&gt;"",H5&lt;&gt;""),2*(E5+F5)*G5/1000000*H5,0)</f>
        <v/>
      </c>
      <c r="S5" s="75">
        <f>IF(AND(I5&lt;&gt;"",J5&lt;&gt;"",G5&lt;&gt;"",H5&lt;&gt;""),ROUNDUP((G5/1000+VLOOKUP(I5,'1-專案資訊'!A25:I33,8,0)/100)/$B$3,0)*J5*H5,0)</f>
        <v/>
      </c>
      <c r="T5" s="75">
        <f>IF(AND(S5&gt;0,I5&lt;&gt;""),S5*VLOOKUP(I5,'1-專案資訊'!A25:I33,8,0)/100,0)</f>
        <v/>
      </c>
      <c r="U5" s="75">
        <f>IF(OR(I5="#3 (D10)",I5="#4 (D13)",I5="#5 (D16)"),O5,0)+IF(OR(K5="#3 (D10)",K5="#4 (D13)",K5="#5 (D16)"),P5,0)+IF(OR(K5="#3 (D10)",K5="#4 (D13)",K5="#5 (D16)"),Q5,0)</f>
        <v/>
      </c>
      <c r="V5" s="75">
        <f>IF(AND(I5&lt;&gt;"",I5&lt;&gt;"#3 (D10)",I5&lt;&gt;"#4 (D13)",I5&lt;&gt;"#5 (D16)"),O5,0)+IF(AND(K5&lt;&gt;"",K5&lt;&gt;"#3 (D10)",K5&lt;&gt;"#4 (D13)",K5&lt;&gt;"#5 (D16)"),P5,0)+IF(AND(K5&lt;&gt;"",K5&lt;&gt;"#3 (D10)",K5&lt;&gt;"#4 (D13)",K5&lt;&gt;"#5 (D16)"),Q5,0)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 t="n"/>
      <c r="H6" s="70" t="n"/>
      <c r="I6" s="74" t="n"/>
      <c r="J6" s="70" t="n"/>
      <c r="K6" s="74" t="n"/>
      <c r="L6" s="70" t="n"/>
      <c r="M6" s="70" t="n"/>
      <c r="N6" s="75">
        <f>IF(AND(E6&lt;&gt;"",F6&lt;&gt;"",G6&lt;&gt;"",H6&lt;&gt;""),E6*F6*G6/1000000000*H6,0)</f>
        <v/>
      </c>
      <c r="O6" s="75">
        <f>IF(AND(I6&lt;&gt;"",J6&lt;&gt;"",G6&lt;&gt;"",H6&lt;&gt;""),VLOOKUP(I6,'1-專案資訊'!A25:I33,4,0)*(G6/1000+VLOOKUP(I6,'1-專案資訊'!A25:I33,8,0)/100)*J6*H6,0)</f>
        <v/>
      </c>
      <c r="P6" s="75">
        <f>IF(AND(K6&lt;&gt;"",L6&lt;&gt;"",E6&lt;&gt;"",F6&lt;&gt;"",G6&lt;&gt;"",H6&lt;&gt;""),VLOOKUP(K6,'1-專案資訊'!A25:I33,4,0)*(2*((E6+F6)/1000-0.08)+2*VLOOKUP(K6,'1-專案資訊'!A25:I33,9,0)/100)*(G6/L6+1)*H6,0)</f>
        <v/>
      </c>
      <c r="Q6" s="75">
        <f>IF(AND(K6&lt;&gt;"",M6&gt;0,L6&lt;&gt;"",E6&lt;&gt;"",G6&lt;&gt;"",H6&lt;&gt;""),VLOOKUP(K6,'1-專案資訊'!A25:I33,4,0)*(MAX(E6,F6)/1000-0.08+2*VLOOKUP(K6,'1-專案資訊'!A25:I33,9,0)/100)*M6*(G6/L6+1)*H6,0)</f>
        <v/>
      </c>
      <c r="R6" s="75">
        <f>IF(AND(E6&lt;&gt;"",F6&lt;&gt;"",G6&lt;&gt;"",H6&lt;&gt;""),2*(E6+F6)*G6/1000000*H6,0)</f>
        <v/>
      </c>
      <c r="S6" s="75">
        <f>IF(AND(I6&lt;&gt;"",J6&lt;&gt;"",G6&lt;&gt;"",H6&lt;&gt;""),ROUNDUP((G6/1000+VLOOKUP(I6,'1-專案資訊'!A25:I33,8,0)/100)/$B$3,0)*J6*H6,0)</f>
        <v/>
      </c>
      <c r="T6" s="75">
        <f>IF(AND(S6&gt;0,I6&lt;&gt;""),S6*VLOOKUP(I6,'1-專案資訊'!A25:I33,8,0)/100,0)</f>
        <v/>
      </c>
      <c r="U6" s="75">
        <f>IF(OR(I6="#3 (D10)",I6="#4 (D13)",I6="#5 (D16)"),O6,0)+IF(OR(K6="#3 (D10)",K6="#4 (D13)",K6="#5 (D16)"),P6,0)+IF(OR(K6="#3 (D10)",K6="#4 (D13)",K6="#5 (D16)"),Q6,0)</f>
        <v/>
      </c>
      <c r="V6" s="75">
        <f>IF(AND(I6&lt;&gt;"",I6&lt;&gt;"#3 (D10)",I6&lt;&gt;"#4 (D13)",I6&lt;&gt;"#5 (D16)"),O6,0)+IF(AND(K6&lt;&gt;"",K6&lt;&gt;"#3 (D10)",K6&lt;&gt;"#4 (D13)",K6&lt;&gt;"#5 (D16)"),P6,0)+IF(AND(K6&lt;&gt;"",K6&lt;&gt;"#3 (D10)",K6&lt;&gt;"#4 (D13)",K6&lt;&gt;"#5 (D16)"),Q6,0)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 t="n"/>
      <c r="H7" s="70" t="n"/>
      <c r="I7" s="74" t="n"/>
      <c r="J7" s="70" t="n"/>
      <c r="K7" s="74" t="n"/>
      <c r="L7" s="70" t="n"/>
      <c r="M7" s="70" t="n"/>
      <c r="N7" s="75">
        <f>IF(AND(E7&lt;&gt;"",F7&lt;&gt;"",G7&lt;&gt;"",H7&lt;&gt;""),E7*F7*G7/1000000000*H7,0)</f>
        <v/>
      </c>
      <c r="O7" s="75">
        <f>IF(AND(I7&lt;&gt;"",J7&lt;&gt;"",G7&lt;&gt;"",H7&lt;&gt;""),VLOOKUP(I7,'1-專案資訊'!A25:I33,4,0)*(G7/1000+VLOOKUP(I7,'1-專案資訊'!A25:I33,8,0)/100)*J7*H7,0)</f>
        <v/>
      </c>
      <c r="P7" s="75">
        <f>IF(AND(K7&lt;&gt;"",L7&lt;&gt;"",E7&lt;&gt;"",F7&lt;&gt;"",G7&lt;&gt;"",H7&lt;&gt;""),VLOOKUP(K7,'1-專案資訊'!A25:I33,4,0)*(2*((E7+F7)/1000-0.08)+2*VLOOKUP(K7,'1-專案資訊'!A25:I33,9,0)/100)*(G7/L7+1)*H7,0)</f>
        <v/>
      </c>
      <c r="Q7" s="75">
        <f>IF(AND(K7&lt;&gt;"",M7&gt;0,L7&lt;&gt;"",E7&lt;&gt;"",G7&lt;&gt;"",H7&lt;&gt;""),VLOOKUP(K7,'1-專案資訊'!A25:I33,4,0)*(MAX(E7,F7)/1000-0.08+2*VLOOKUP(K7,'1-專案資訊'!A25:I33,9,0)/100)*M7*(G7/L7+1)*H7,0)</f>
        <v/>
      </c>
      <c r="R7" s="75">
        <f>IF(AND(E7&lt;&gt;"",F7&lt;&gt;"",G7&lt;&gt;"",H7&lt;&gt;""),2*(E7+F7)*G7/1000000*H7,0)</f>
        <v/>
      </c>
      <c r="S7" s="75">
        <f>IF(AND(I7&lt;&gt;"",J7&lt;&gt;"",G7&lt;&gt;"",H7&lt;&gt;""),ROUNDUP((G7/1000+VLOOKUP(I7,'1-專案資訊'!A25:I33,8,0)/100)/$B$3,0)*J7*H7,0)</f>
        <v/>
      </c>
      <c r="T7" s="75">
        <f>IF(AND(S7&gt;0,I7&lt;&gt;""),S7*VLOOKUP(I7,'1-專案資訊'!A25:I33,8,0)/100,0)</f>
        <v/>
      </c>
      <c r="U7" s="75">
        <f>IF(OR(I7="#3 (D10)",I7="#4 (D13)",I7="#5 (D16)"),O7,0)+IF(OR(K7="#3 (D10)",K7="#4 (D13)",K7="#5 (D16)"),P7,0)+IF(OR(K7="#3 (D10)",K7="#4 (D13)",K7="#5 (D16)"),Q7,0)</f>
        <v/>
      </c>
      <c r="V7" s="75">
        <f>IF(AND(I7&lt;&gt;"",I7&lt;&gt;"#3 (D10)",I7&lt;&gt;"#4 (D13)",I7&lt;&gt;"#5 (D16)"),O7,0)+IF(AND(K7&lt;&gt;"",K7&lt;&gt;"#3 (D10)",K7&lt;&gt;"#4 (D13)",K7&lt;&gt;"#5 (D16)"),P7,0)+IF(AND(K7&lt;&gt;"",K7&lt;&gt;"#3 (D10)",K7&lt;&gt;"#4 (D13)",K7&lt;&gt;"#5 (D16)"),Q7,0)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 t="n"/>
      <c r="H8" s="70" t="n"/>
      <c r="I8" s="74" t="n"/>
      <c r="J8" s="70" t="n"/>
      <c r="K8" s="74" t="n"/>
      <c r="L8" s="70" t="n"/>
      <c r="M8" s="70" t="n"/>
      <c r="N8" s="75">
        <f>IF(AND(E8&lt;&gt;"",F8&lt;&gt;"",G8&lt;&gt;"",H8&lt;&gt;""),E8*F8*G8/1000000000*H8,0)</f>
        <v/>
      </c>
      <c r="O8" s="75">
        <f>IF(AND(I8&lt;&gt;"",J8&lt;&gt;"",G8&lt;&gt;"",H8&lt;&gt;""),VLOOKUP(I8,'1-專案資訊'!A25:I33,4,0)*(G8/1000+VLOOKUP(I8,'1-專案資訊'!A25:I33,8,0)/100)*J8*H8,0)</f>
        <v/>
      </c>
      <c r="P8" s="75">
        <f>IF(AND(K8&lt;&gt;"",L8&lt;&gt;"",E8&lt;&gt;"",F8&lt;&gt;"",G8&lt;&gt;"",H8&lt;&gt;""),VLOOKUP(K8,'1-專案資訊'!A25:I33,4,0)*(2*((E8+F8)/1000-0.08)+2*VLOOKUP(K8,'1-專案資訊'!A25:I33,9,0)/100)*(G8/L8+1)*H8,0)</f>
        <v/>
      </c>
      <c r="Q8" s="75">
        <f>IF(AND(K8&lt;&gt;"",M8&gt;0,L8&lt;&gt;"",E8&lt;&gt;"",G8&lt;&gt;"",H8&lt;&gt;""),VLOOKUP(K8,'1-專案資訊'!A25:I33,4,0)*(MAX(E8,F8)/1000-0.08+2*VLOOKUP(K8,'1-專案資訊'!A25:I33,9,0)/100)*M8*(G8/L8+1)*H8,0)</f>
        <v/>
      </c>
      <c r="R8" s="75">
        <f>IF(AND(E8&lt;&gt;"",F8&lt;&gt;"",G8&lt;&gt;"",H8&lt;&gt;""),2*(E8+F8)*G8/1000000*H8,0)</f>
        <v/>
      </c>
      <c r="S8" s="75">
        <f>IF(AND(I8&lt;&gt;"",J8&lt;&gt;"",G8&lt;&gt;"",H8&lt;&gt;""),ROUNDUP((G8/1000+VLOOKUP(I8,'1-專案資訊'!A25:I33,8,0)/100)/$B$3,0)*J8*H8,0)</f>
        <v/>
      </c>
      <c r="T8" s="75">
        <f>IF(AND(S8&gt;0,I8&lt;&gt;""),S8*VLOOKUP(I8,'1-專案資訊'!A25:I33,8,0)/100,0)</f>
        <v/>
      </c>
      <c r="U8" s="75">
        <f>IF(OR(I8="#3 (D10)",I8="#4 (D13)",I8="#5 (D16)"),O8,0)+IF(OR(K8="#3 (D10)",K8="#4 (D13)",K8="#5 (D16)"),P8,0)+IF(OR(K8="#3 (D10)",K8="#4 (D13)",K8="#5 (D16)"),Q8,0)</f>
        <v/>
      </c>
      <c r="V8" s="75">
        <f>IF(AND(I8&lt;&gt;"",I8&lt;&gt;"#3 (D10)",I8&lt;&gt;"#4 (D13)",I8&lt;&gt;"#5 (D16)"),O8,0)+IF(AND(K8&lt;&gt;"",K8&lt;&gt;"#3 (D10)",K8&lt;&gt;"#4 (D13)",K8&lt;&gt;"#5 (D16)"),P8,0)+IF(AND(K8&lt;&gt;"",K8&lt;&gt;"#3 (D10)",K8&lt;&gt;"#4 (D13)",K8&lt;&gt;"#5 (D16)"),Q8,0)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 t="n"/>
      <c r="H9" s="70" t="n"/>
      <c r="I9" s="74" t="n"/>
      <c r="J9" s="70" t="n"/>
      <c r="K9" s="74" t="n"/>
      <c r="L9" s="70" t="n"/>
      <c r="M9" s="70" t="n"/>
      <c r="N9" s="75">
        <f>IF(AND(E9&lt;&gt;"",F9&lt;&gt;"",G9&lt;&gt;"",H9&lt;&gt;""),E9*F9*G9/1000000000*H9,0)</f>
        <v/>
      </c>
      <c r="O9" s="75">
        <f>IF(AND(I9&lt;&gt;"",J9&lt;&gt;"",G9&lt;&gt;"",H9&lt;&gt;""),VLOOKUP(I9,'1-專案資訊'!A25:I33,4,0)*(G9/1000+VLOOKUP(I9,'1-專案資訊'!A25:I33,8,0)/100)*J9*H9,0)</f>
        <v/>
      </c>
      <c r="P9" s="75">
        <f>IF(AND(K9&lt;&gt;"",L9&lt;&gt;"",E9&lt;&gt;"",F9&lt;&gt;"",G9&lt;&gt;"",H9&lt;&gt;""),VLOOKUP(K9,'1-專案資訊'!A25:I33,4,0)*(2*((E9+F9)/1000-0.08)+2*VLOOKUP(K9,'1-專案資訊'!A25:I33,9,0)/100)*(G9/L9+1)*H9,0)</f>
        <v/>
      </c>
      <c r="Q9" s="75">
        <f>IF(AND(K9&lt;&gt;"",M9&gt;0,L9&lt;&gt;"",E9&lt;&gt;"",G9&lt;&gt;"",H9&lt;&gt;""),VLOOKUP(K9,'1-專案資訊'!A25:I33,4,0)*(MAX(E9,F9)/1000-0.08+2*VLOOKUP(K9,'1-專案資訊'!A25:I33,9,0)/100)*M9*(G9/L9+1)*H9,0)</f>
        <v/>
      </c>
      <c r="R9" s="75">
        <f>IF(AND(E9&lt;&gt;"",F9&lt;&gt;"",G9&lt;&gt;"",H9&lt;&gt;""),2*(E9+F9)*G9/1000000*H9,0)</f>
        <v/>
      </c>
      <c r="S9" s="75">
        <f>IF(AND(I9&lt;&gt;"",J9&lt;&gt;"",G9&lt;&gt;"",H9&lt;&gt;""),ROUNDUP((G9/1000+VLOOKUP(I9,'1-專案資訊'!A25:I33,8,0)/100)/$B$3,0)*J9*H9,0)</f>
        <v/>
      </c>
      <c r="T9" s="75">
        <f>IF(AND(S9&gt;0,I9&lt;&gt;""),S9*VLOOKUP(I9,'1-專案資訊'!A25:I33,8,0)/100,0)</f>
        <v/>
      </c>
      <c r="U9" s="75">
        <f>IF(OR(I9="#3 (D10)",I9="#4 (D13)",I9="#5 (D16)"),O9,0)+IF(OR(K9="#3 (D10)",K9="#4 (D13)",K9="#5 (D16)"),P9,0)+IF(OR(K9="#3 (D10)",K9="#4 (D13)",K9="#5 (D16)"),Q9,0)</f>
        <v/>
      </c>
      <c r="V9" s="75">
        <f>IF(AND(I9&lt;&gt;"",I9&lt;&gt;"#3 (D10)",I9&lt;&gt;"#4 (D13)",I9&lt;&gt;"#5 (D16)"),O9,0)+IF(AND(K9&lt;&gt;"",K9&lt;&gt;"#3 (D10)",K9&lt;&gt;"#4 (D13)",K9&lt;&gt;"#5 (D16)"),P9,0)+IF(AND(K9&lt;&gt;"",K9&lt;&gt;"#3 (D10)",K9&lt;&gt;"#4 (D13)",K9&lt;&gt;"#5 (D16)"),Q9,0)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 t="n"/>
      <c r="H10" s="70" t="n"/>
      <c r="I10" s="74" t="n"/>
      <c r="J10" s="70" t="n"/>
      <c r="K10" s="74" t="n"/>
      <c r="L10" s="70" t="n"/>
      <c r="M10" s="70" t="n"/>
      <c r="N10" s="75">
        <f>IF(AND(E10&lt;&gt;"",F10&lt;&gt;"",G10&lt;&gt;"",H10&lt;&gt;""),E10*F10*G10/1000000000*H10,0)</f>
        <v/>
      </c>
      <c r="O10" s="75">
        <f>IF(AND(I10&lt;&gt;"",J10&lt;&gt;"",G10&lt;&gt;"",H10&lt;&gt;""),VLOOKUP(I10,'1-專案資訊'!A25:I33,4,0)*(G10/1000+VLOOKUP(I10,'1-專案資訊'!A25:I33,8,0)/100)*J10*H10,0)</f>
        <v/>
      </c>
      <c r="P10" s="75">
        <f>IF(AND(K10&lt;&gt;"",L10&lt;&gt;"",E10&lt;&gt;"",F10&lt;&gt;"",G10&lt;&gt;"",H10&lt;&gt;""),VLOOKUP(K10,'1-專案資訊'!A25:I33,4,0)*(2*((E10+F10)/1000-0.08)+2*VLOOKUP(K10,'1-專案資訊'!A25:I33,9,0)/100)*(G10/L10+1)*H10,0)</f>
        <v/>
      </c>
      <c r="Q10" s="75">
        <f>IF(AND(K10&lt;&gt;"",M10&gt;0,L10&lt;&gt;"",E10&lt;&gt;"",G10&lt;&gt;"",H10&lt;&gt;""),VLOOKUP(K10,'1-專案資訊'!A25:I33,4,0)*(MAX(E10,F10)/1000-0.08+2*VLOOKUP(K10,'1-專案資訊'!A25:I33,9,0)/100)*M10*(G10/L10+1)*H10,0)</f>
        <v/>
      </c>
      <c r="R10" s="75">
        <f>IF(AND(E10&lt;&gt;"",F10&lt;&gt;"",G10&lt;&gt;"",H10&lt;&gt;""),2*(E10+F10)*G10/1000000*H10,0)</f>
        <v/>
      </c>
      <c r="S10" s="75">
        <f>IF(AND(I10&lt;&gt;"",J10&lt;&gt;"",G10&lt;&gt;"",H10&lt;&gt;""),ROUNDUP((G10/1000+VLOOKUP(I10,'1-專案資訊'!A25:I33,8,0)/100)/$B$3,0)*J10*H10,0)</f>
        <v/>
      </c>
      <c r="T10" s="75">
        <f>IF(AND(S10&gt;0,I10&lt;&gt;""),S10*VLOOKUP(I10,'1-專案資訊'!A25:I33,8,0)/100,0)</f>
        <v/>
      </c>
      <c r="U10" s="75">
        <f>IF(OR(I10="#3 (D10)",I10="#4 (D13)",I10="#5 (D16)"),O10,0)+IF(OR(K10="#3 (D10)",K10="#4 (D13)",K10="#5 (D16)"),P10,0)+IF(OR(K10="#3 (D10)",K10="#4 (D13)",K10="#5 (D16)"),Q10,0)</f>
        <v/>
      </c>
      <c r="V10" s="75">
        <f>IF(AND(I10&lt;&gt;"",I10&lt;&gt;"#3 (D10)",I10&lt;&gt;"#4 (D13)",I10&lt;&gt;"#5 (D16)"),O10,0)+IF(AND(K10&lt;&gt;"",K10&lt;&gt;"#3 (D10)",K10&lt;&gt;"#4 (D13)",K10&lt;&gt;"#5 (D16)"),P10,0)+IF(AND(K10&lt;&gt;"",K10&lt;&gt;"#3 (D10)",K10&lt;&gt;"#4 (D13)",K10&lt;&gt;"#5 (D16)"),Q10,0)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 t="n"/>
      <c r="H11" s="70" t="n"/>
      <c r="I11" s="74" t="n"/>
      <c r="J11" s="70" t="n"/>
      <c r="K11" s="74" t="n"/>
      <c r="L11" s="70" t="n"/>
      <c r="M11" s="70" t="n"/>
      <c r="N11" s="75">
        <f>IF(AND(E11&lt;&gt;"",F11&lt;&gt;"",G11&lt;&gt;"",H11&lt;&gt;""),E11*F11*G11/1000000000*H11,0)</f>
        <v/>
      </c>
      <c r="O11" s="75">
        <f>IF(AND(I11&lt;&gt;"",J11&lt;&gt;"",G11&lt;&gt;"",H11&lt;&gt;""),VLOOKUP(I11,'1-專案資訊'!A25:I33,4,0)*(G11/1000+VLOOKUP(I11,'1-專案資訊'!A25:I33,8,0)/100)*J11*H11,0)</f>
        <v/>
      </c>
      <c r="P11" s="75">
        <f>IF(AND(K11&lt;&gt;"",L11&lt;&gt;"",E11&lt;&gt;"",F11&lt;&gt;"",G11&lt;&gt;"",H11&lt;&gt;""),VLOOKUP(K11,'1-專案資訊'!A25:I33,4,0)*(2*((E11+F11)/1000-0.08)+2*VLOOKUP(K11,'1-專案資訊'!A25:I33,9,0)/100)*(G11/L11+1)*H11,0)</f>
        <v/>
      </c>
      <c r="Q11" s="75">
        <f>IF(AND(K11&lt;&gt;"",M11&gt;0,L11&lt;&gt;"",E11&lt;&gt;"",G11&lt;&gt;"",H11&lt;&gt;""),VLOOKUP(K11,'1-專案資訊'!A25:I33,4,0)*(MAX(E11,F11)/1000-0.08+2*VLOOKUP(K11,'1-專案資訊'!A25:I33,9,0)/100)*M11*(G11/L11+1)*H11,0)</f>
        <v/>
      </c>
      <c r="R11" s="75">
        <f>IF(AND(E11&lt;&gt;"",F11&lt;&gt;"",G11&lt;&gt;"",H11&lt;&gt;""),2*(E11+F11)*G11/1000000*H11,0)</f>
        <v/>
      </c>
      <c r="S11" s="75">
        <f>IF(AND(I11&lt;&gt;"",J11&lt;&gt;"",G11&lt;&gt;"",H11&lt;&gt;""),ROUNDUP((G11/1000+VLOOKUP(I11,'1-專案資訊'!A25:I33,8,0)/100)/$B$3,0)*J11*H11,0)</f>
        <v/>
      </c>
      <c r="T11" s="75">
        <f>IF(AND(S11&gt;0,I11&lt;&gt;""),S11*VLOOKUP(I11,'1-專案資訊'!A25:I33,8,0)/100,0)</f>
        <v/>
      </c>
      <c r="U11" s="75">
        <f>IF(OR(I11="#3 (D10)",I11="#4 (D13)",I11="#5 (D16)"),O11,0)+IF(OR(K11="#3 (D10)",K11="#4 (D13)",K11="#5 (D16)"),P11,0)+IF(OR(K11="#3 (D10)",K11="#4 (D13)",K11="#5 (D16)"),Q11,0)</f>
        <v/>
      </c>
      <c r="V11" s="75">
        <f>IF(AND(I11&lt;&gt;"",I11&lt;&gt;"#3 (D10)",I11&lt;&gt;"#4 (D13)",I11&lt;&gt;"#5 (D16)"),O11,0)+IF(AND(K11&lt;&gt;"",K11&lt;&gt;"#3 (D10)",K11&lt;&gt;"#4 (D13)",K11&lt;&gt;"#5 (D16)"),P11,0)+IF(AND(K11&lt;&gt;"",K11&lt;&gt;"#3 (D10)",K11&lt;&gt;"#4 (D13)",K11&lt;&gt;"#5 (D16)"),Q11,0)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 t="n"/>
      <c r="H12" s="70" t="n"/>
      <c r="I12" s="74" t="n"/>
      <c r="J12" s="70" t="n"/>
      <c r="K12" s="74" t="n"/>
      <c r="L12" s="70" t="n"/>
      <c r="M12" s="70" t="n"/>
      <c r="N12" s="75">
        <f>IF(AND(E12&lt;&gt;"",F12&lt;&gt;"",G12&lt;&gt;"",H12&lt;&gt;""),E12*F12*G12/1000000000*H12,0)</f>
        <v/>
      </c>
      <c r="O12" s="75">
        <f>IF(AND(I12&lt;&gt;"",J12&lt;&gt;"",G12&lt;&gt;"",H12&lt;&gt;""),VLOOKUP(I12,'1-專案資訊'!A25:I33,4,0)*(G12/1000+VLOOKUP(I12,'1-專案資訊'!A25:I33,8,0)/100)*J12*H12,0)</f>
        <v/>
      </c>
      <c r="P12" s="75">
        <f>IF(AND(K12&lt;&gt;"",L12&lt;&gt;"",E12&lt;&gt;"",F12&lt;&gt;"",G12&lt;&gt;"",H12&lt;&gt;""),VLOOKUP(K12,'1-專案資訊'!A25:I33,4,0)*(2*((E12+F12)/1000-0.08)+2*VLOOKUP(K12,'1-專案資訊'!A25:I33,9,0)/100)*(G12/L12+1)*H12,0)</f>
        <v/>
      </c>
      <c r="Q12" s="75">
        <f>IF(AND(K12&lt;&gt;"",M12&gt;0,L12&lt;&gt;"",E12&lt;&gt;"",G12&lt;&gt;"",H12&lt;&gt;""),VLOOKUP(K12,'1-專案資訊'!A25:I33,4,0)*(MAX(E12,F12)/1000-0.08+2*VLOOKUP(K12,'1-專案資訊'!A25:I33,9,0)/100)*M12*(G12/L12+1)*H12,0)</f>
        <v/>
      </c>
      <c r="R12" s="75">
        <f>IF(AND(E12&lt;&gt;"",F12&lt;&gt;"",G12&lt;&gt;"",H12&lt;&gt;""),2*(E12+F12)*G12/1000000*H12,0)</f>
        <v/>
      </c>
      <c r="S12" s="75">
        <f>IF(AND(I12&lt;&gt;"",J12&lt;&gt;"",G12&lt;&gt;"",H12&lt;&gt;""),ROUNDUP((G12/1000+VLOOKUP(I12,'1-專案資訊'!A25:I33,8,0)/100)/$B$3,0)*J12*H12,0)</f>
        <v/>
      </c>
      <c r="T12" s="75">
        <f>IF(AND(S12&gt;0,I12&lt;&gt;""),S12*VLOOKUP(I12,'1-專案資訊'!A25:I33,8,0)/100,0)</f>
        <v/>
      </c>
      <c r="U12" s="75">
        <f>IF(OR(I12="#3 (D10)",I12="#4 (D13)",I12="#5 (D16)"),O12,0)+IF(OR(K12="#3 (D10)",K12="#4 (D13)",K12="#5 (D16)"),P12,0)+IF(OR(K12="#3 (D10)",K12="#4 (D13)",K12="#5 (D16)"),Q12,0)</f>
        <v/>
      </c>
      <c r="V12" s="75">
        <f>IF(AND(I12&lt;&gt;"",I12&lt;&gt;"#3 (D10)",I12&lt;&gt;"#4 (D13)",I12&lt;&gt;"#5 (D16)"),O12,0)+IF(AND(K12&lt;&gt;"",K12&lt;&gt;"#3 (D10)",K12&lt;&gt;"#4 (D13)",K12&lt;&gt;"#5 (D16)"),P12,0)+IF(AND(K12&lt;&gt;"",K12&lt;&gt;"#3 (D10)",K12&lt;&gt;"#4 (D13)",K12&lt;&gt;"#5 (D16)"),Q12,0)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 t="n"/>
      <c r="H13" s="70" t="n"/>
      <c r="I13" s="74" t="n"/>
      <c r="J13" s="70" t="n"/>
      <c r="K13" s="74" t="n"/>
      <c r="L13" s="70" t="n"/>
      <c r="M13" s="70" t="n"/>
      <c r="N13" s="75">
        <f>IF(AND(E13&lt;&gt;"",F13&lt;&gt;"",G13&lt;&gt;"",H13&lt;&gt;""),E13*F13*G13/1000000000*H13,0)</f>
        <v/>
      </c>
      <c r="O13" s="75">
        <f>IF(AND(I13&lt;&gt;"",J13&lt;&gt;"",G13&lt;&gt;"",H13&lt;&gt;""),VLOOKUP(I13,'1-專案資訊'!A25:I33,4,0)*(G13/1000+VLOOKUP(I13,'1-專案資訊'!A25:I33,8,0)/100)*J13*H13,0)</f>
        <v/>
      </c>
      <c r="P13" s="75">
        <f>IF(AND(K13&lt;&gt;"",L13&lt;&gt;"",E13&lt;&gt;"",F13&lt;&gt;"",G13&lt;&gt;"",H13&lt;&gt;""),VLOOKUP(K13,'1-專案資訊'!A25:I33,4,0)*(2*((E13+F13)/1000-0.08)+2*VLOOKUP(K13,'1-專案資訊'!A25:I33,9,0)/100)*(G13/L13+1)*H13,0)</f>
        <v/>
      </c>
      <c r="Q13" s="75">
        <f>IF(AND(K13&lt;&gt;"",M13&gt;0,L13&lt;&gt;"",E13&lt;&gt;"",G13&lt;&gt;"",H13&lt;&gt;""),VLOOKUP(K13,'1-專案資訊'!A25:I33,4,0)*(MAX(E13,F13)/1000-0.08+2*VLOOKUP(K13,'1-專案資訊'!A25:I33,9,0)/100)*M13*(G13/L13+1)*H13,0)</f>
        <v/>
      </c>
      <c r="R13" s="75">
        <f>IF(AND(E13&lt;&gt;"",F13&lt;&gt;"",G13&lt;&gt;"",H13&lt;&gt;""),2*(E13+F13)*G13/1000000*H13,0)</f>
        <v/>
      </c>
      <c r="S13" s="75">
        <f>IF(AND(I13&lt;&gt;"",J13&lt;&gt;"",G13&lt;&gt;"",H13&lt;&gt;""),ROUNDUP((G13/1000+VLOOKUP(I13,'1-專案資訊'!A25:I33,8,0)/100)/$B$3,0)*J13*H13,0)</f>
        <v/>
      </c>
      <c r="T13" s="75">
        <f>IF(AND(S13&gt;0,I13&lt;&gt;""),S13*VLOOKUP(I13,'1-專案資訊'!A25:I33,8,0)/100,0)</f>
        <v/>
      </c>
      <c r="U13" s="75">
        <f>IF(OR(I13="#3 (D10)",I13="#4 (D13)",I13="#5 (D16)"),O13,0)+IF(OR(K13="#3 (D10)",K13="#4 (D13)",K13="#5 (D16)"),P13,0)+IF(OR(K13="#3 (D10)",K13="#4 (D13)",K13="#5 (D16)"),Q13,0)</f>
        <v/>
      </c>
      <c r="V13" s="75">
        <f>IF(AND(I13&lt;&gt;"",I13&lt;&gt;"#3 (D10)",I13&lt;&gt;"#4 (D13)",I13&lt;&gt;"#5 (D16)"),O13,0)+IF(AND(K13&lt;&gt;"",K13&lt;&gt;"#3 (D10)",K13&lt;&gt;"#4 (D13)",K13&lt;&gt;"#5 (D16)"),P13,0)+IF(AND(K13&lt;&gt;"",K13&lt;&gt;"#3 (D10)",K13&lt;&gt;"#4 (D13)",K13&lt;&gt;"#5 (D16)"),Q13,0)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 t="n"/>
      <c r="H14" s="70" t="n"/>
      <c r="I14" s="74" t="n"/>
      <c r="J14" s="70" t="n"/>
      <c r="K14" s="74" t="n"/>
      <c r="L14" s="70" t="n"/>
      <c r="M14" s="70" t="n"/>
      <c r="N14" s="75">
        <f>IF(AND(E14&lt;&gt;"",F14&lt;&gt;"",G14&lt;&gt;"",H14&lt;&gt;""),E14*F14*G14/1000000000*H14,0)</f>
        <v/>
      </c>
      <c r="O14" s="75">
        <f>IF(AND(I14&lt;&gt;"",J14&lt;&gt;"",G14&lt;&gt;"",H14&lt;&gt;""),VLOOKUP(I14,'1-專案資訊'!A25:I33,4,0)*(G14/1000+VLOOKUP(I14,'1-專案資訊'!A25:I33,8,0)/100)*J14*H14,0)</f>
        <v/>
      </c>
      <c r="P14" s="75">
        <f>IF(AND(K14&lt;&gt;"",L14&lt;&gt;"",E14&lt;&gt;"",F14&lt;&gt;"",G14&lt;&gt;"",H14&lt;&gt;""),VLOOKUP(K14,'1-專案資訊'!A25:I33,4,0)*(2*((E14+F14)/1000-0.08)+2*VLOOKUP(K14,'1-專案資訊'!A25:I33,9,0)/100)*(G14/L14+1)*H14,0)</f>
        <v/>
      </c>
      <c r="Q14" s="75">
        <f>IF(AND(K14&lt;&gt;"",M14&gt;0,L14&lt;&gt;"",E14&lt;&gt;"",G14&lt;&gt;"",H14&lt;&gt;""),VLOOKUP(K14,'1-專案資訊'!A25:I33,4,0)*(MAX(E14,F14)/1000-0.08+2*VLOOKUP(K14,'1-專案資訊'!A25:I33,9,0)/100)*M14*(G14/L14+1)*H14,0)</f>
        <v/>
      </c>
      <c r="R14" s="75">
        <f>IF(AND(E14&lt;&gt;"",F14&lt;&gt;"",G14&lt;&gt;"",H14&lt;&gt;""),2*(E14+F14)*G14/1000000*H14,0)</f>
        <v/>
      </c>
      <c r="S14" s="75">
        <f>IF(AND(I14&lt;&gt;"",J14&lt;&gt;"",G14&lt;&gt;"",H14&lt;&gt;""),ROUNDUP((G14/1000+VLOOKUP(I14,'1-專案資訊'!A25:I33,8,0)/100)/$B$3,0)*J14*H14,0)</f>
        <v/>
      </c>
      <c r="T14" s="75">
        <f>IF(AND(S14&gt;0,I14&lt;&gt;""),S14*VLOOKUP(I14,'1-專案資訊'!A25:I33,8,0)/100,0)</f>
        <v/>
      </c>
      <c r="U14" s="75">
        <f>IF(OR(I14="#3 (D10)",I14="#4 (D13)",I14="#5 (D16)"),O14,0)+IF(OR(K14="#3 (D10)",K14="#4 (D13)",K14="#5 (D16)"),P14,0)+IF(OR(K14="#3 (D10)",K14="#4 (D13)",K14="#5 (D16)"),Q14,0)</f>
        <v/>
      </c>
      <c r="V14" s="75">
        <f>IF(AND(I14&lt;&gt;"",I14&lt;&gt;"#3 (D10)",I14&lt;&gt;"#4 (D13)",I14&lt;&gt;"#5 (D16)"),O14,0)+IF(AND(K14&lt;&gt;"",K14&lt;&gt;"#3 (D10)",K14&lt;&gt;"#4 (D13)",K14&lt;&gt;"#5 (D16)"),P14,0)+IF(AND(K14&lt;&gt;"",K14&lt;&gt;"#3 (D10)",K14&lt;&gt;"#4 (D13)",K14&lt;&gt;"#5 (D16)"),Q14,0)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 t="n"/>
      <c r="H15" s="70" t="n"/>
      <c r="I15" s="74" t="n"/>
      <c r="J15" s="70" t="n"/>
      <c r="K15" s="74" t="n"/>
      <c r="L15" s="70" t="n"/>
      <c r="M15" s="70" t="n"/>
      <c r="N15" s="75">
        <f>IF(AND(E15&lt;&gt;"",F15&lt;&gt;"",G15&lt;&gt;"",H15&lt;&gt;""),E15*F15*G15/1000000000*H15,0)</f>
        <v/>
      </c>
      <c r="O15" s="75">
        <f>IF(AND(I15&lt;&gt;"",J15&lt;&gt;"",G15&lt;&gt;"",H15&lt;&gt;""),VLOOKUP(I15,'1-專案資訊'!A25:I33,4,0)*(G15/1000+VLOOKUP(I15,'1-專案資訊'!A25:I33,8,0)/100)*J15*H15,0)</f>
        <v/>
      </c>
      <c r="P15" s="75">
        <f>IF(AND(K15&lt;&gt;"",L15&lt;&gt;"",E15&lt;&gt;"",F15&lt;&gt;"",G15&lt;&gt;"",H15&lt;&gt;""),VLOOKUP(K15,'1-專案資訊'!A25:I33,4,0)*(2*((E15+F15)/1000-0.08)+2*VLOOKUP(K15,'1-專案資訊'!A25:I33,9,0)/100)*(G15/L15+1)*H15,0)</f>
        <v/>
      </c>
      <c r="Q15" s="75">
        <f>IF(AND(K15&lt;&gt;"",M15&gt;0,L15&lt;&gt;"",E15&lt;&gt;"",G15&lt;&gt;"",H15&lt;&gt;""),VLOOKUP(K15,'1-專案資訊'!A25:I33,4,0)*(MAX(E15,F15)/1000-0.08+2*VLOOKUP(K15,'1-專案資訊'!A25:I33,9,0)/100)*M15*(G15/L15+1)*H15,0)</f>
        <v/>
      </c>
      <c r="R15" s="75">
        <f>IF(AND(E15&lt;&gt;"",F15&lt;&gt;"",G15&lt;&gt;"",H15&lt;&gt;""),2*(E15+F15)*G15/1000000*H15,0)</f>
        <v/>
      </c>
      <c r="S15" s="75">
        <f>IF(AND(I15&lt;&gt;"",J15&lt;&gt;"",G15&lt;&gt;"",H15&lt;&gt;""),ROUNDUP((G15/1000+VLOOKUP(I15,'1-專案資訊'!A25:I33,8,0)/100)/$B$3,0)*J15*H15,0)</f>
        <v/>
      </c>
      <c r="T15" s="75">
        <f>IF(AND(S15&gt;0,I15&lt;&gt;""),S15*VLOOKUP(I15,'1-專案資訊'!A25:I33,8,0)/100,0)</f>
        <v/>
      </c>
      <c r="U15" s="75">
        <f>IF(OR(I15="#3 (D10)",I15="#4 (D13)",I15="#5 (D16)"),O15,0)+IF(OR(K15="#3 (D10)",K15="#4 (D13)",K15="#5 (D16)"),P15,0)+IF(OR(K15="#3 (D10)",K15="#4 (D13)",K15="#5 (D16)"),Q15,0)</f>
        <v/>
      </c>
      <c r="V15" s="75">
        <f>IF(AND(I15&lt;&gt;"",I15&lt;&gt;"#3 (D10)",I15&lt;&gt;"#4 (D13)",I15&lt;&gt;"#5 (D16)"),O15,0)+IF(AND(K15&lt;&gt;"",K15&lt;&gt;"#3 (D10)",K15&lt;&gt;"#4 (D13)",K15&lt;&gt;"#5 (D16)"),P15,0)+IF(AND(K15&lt;&gt;"",K15&lt;&gt;"#3 (D10)",K15&lt;&gt;"#4 (D13)",K15&lt;&gt;"#5 (D16)"),Q15,0)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 t="n"/>
      <c r="H16" s="70" t="n"/>
      <c r="I16" s="74" t="n"/>
      <c r="J16" s="70" t="n"/>
      <c r="K16" s="74" t="n"/>
      <c r="L16" s="70" t="n"/>
      <c r="M16" s="70" t="n"/>
      <c r="N16" s="75">
        <f>IF(AND(E16&lt;&gt;"",F16&lt;&gt;"",G16&lt;&gt;"",H16&lt;&gt;""),E16*F16*G16/1000000000*H16,0)</f>
        <v/>
      </c>
      <c r="O16" s="75">
        <f>IF(AND(I16&lt;&gt;"",J16&lt;&gt;"",G16&lt;&gt;"",H16&lt;&gt;""),VLOOKUP(I16,'1-專案資訊'!A25:I33,4,0)*(G16/1000+VLOOKUP(I16,'1-專案資訊'!A25:I33,8,0)/100)*J16*H16,0)</f>
        <v/>
      </c>
      <c r="P16" s="75">
        <f>IF(AND(K16&lt;&gt;"",L16&lt;&gt;"",E16&lt;&gt;"",F16&lt;&gt;"",G16&lt;&gt;"",H16&lt;&gt;""),VLOOKUP(K16,'1-專案資訊'!A25:I33,4,0)*(2*((E16+F16)/1000-0.08)+2*VLOOKUP(K16,'1-專案資訊'!A25:I33,9,0)/100)*(G16/L16+1)*H16,0)</f>
        <v/>
      </c>
      <c r="Q16" s="75">
        <f>IF(AND(K16&lt;&gt;"",M16&gt;0,L16&lt;&gt;"",E16&lt;&gt;"",G16&lt;&gt;"",H16&lt;&gt;""),VLOOKUP(K16,'1-專案資訊'!A25:I33,4,0)*(MAX(E16,F16)/1000-0.08+2*VLOOKUP(K16,'1-專案資訊'!A25:I33,9,0)/100)*M16*(G16/L16+1)*H16,0)</f>
        <v/>
      </c>
      <c r="R16" s="75">
        <f>IF(AND(E16&lt;&gt;"",F16&lt;&gt;"",G16&lt;&gt;"",H16&lt;&gt;""),2*(E16+F16)*G16/1000000*H16,0)</f>
        <v/>
      </c>
      <c r="S16" s="75">
        <f>IF(AND(I16&lt;&gt;"",J16&lt;&gt;"",G16&lt;&gt;"",H16&lt;&gt;""),ROUNDUP((G16/1000+VLOOKUP(I16,'1-專案資訊'!A25:I33,8,0)/100)/$B$3,0)*J16*H16,0)</f>
        <v/>
      </c>
      <c r="T16" s="75">
        <f>IF(AND(S16&gt;0,I16&lt;&gt;""),S16*VLOOKUP(I16,'1-專案資訊'!A25:I33,8,0)/100,0)</f>
        <v/>
      </c>
      <c r="U16" s="75">
        <f>IF(OR(I16="#3 (D10)",I16="#4 (D13)",I16="#5 (D16)"),O16,0)+IF(OR(K16="#3 (D10)",K16="#4 (D13)",K16="#5 (D16)"),P16,0)+IF(OR(K16="#3 (D10)",K16="#4 (D13)",K16="#5 (D16)"),Q16,0)</f>
        <v/>
      </c>
      <c r="V16" s="75">
        <f>IF(AND(I16&lt;&gt;"",I16&lt;&gt;"#3 (D10)",I16&lt;&gt;"#4 (D13)",I16&lt;&gt;"#5 (D16)"),O16,0)+IF(AND(K16&lt;&gt;"",K16&lt;&gt;"#3 (D10)",K16&lt;&gt;"#4 (D13)",K16&lt;&gt;"#5 (D16)"),P16,0)+IF(AND(K16&lt;&gt;"",K16&lt;&gt;"#3 (D10)",K16&lt;&gt;"#4 (D13)",K16&lt;&gt;"#5 (D16)"),Q16,0)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 t="n"/>
      <c r="H17" s="70" t="n"/>
      <c r="I17" s="74" t="n"/>
      <c r="J17" s="70" t="n"/>
      <c r="K17" s="74" t="n"/>
      <c r="L17" s="70" t="n"/>
      <c r="M17" s="70" t="n"/>
      <c r="N17" s="75">
        <f>IF(AND(E17&lt;&gt;"",F17&lt;&gt;"",G17&lt;&gt;"",H17&lt;&gt;""),E17*F17*G17/1000000000*H17,0)</f>
        <v/>
      </c>
      <c r="O17" s="75">
        <f>IF(AND(I17&lt;&gt;"",J17&lt;&gt;"",G17&lt;&gt;"",H17&lt;&gt;""),VLOOKUP(I17,'1-專案資訊'!A25:I33,4,0)*(G17/1000+VLOOKUP(I17,'1-專案資訊'!A25:I33,8,0)/100)*J17*H17,0)</f>
        <v/>
      </c>
      <c r="P17" s="75">
        <f>IF(AND(K17&lt;&gt;"",L17&lt;&gt;"",E17&lt;&gt;"",F17&lt;&gt;"",G17&lt;&gt;"",H17&lt;&gt;""),VLOOKUP(K17,'1-專案資訊'!A25:I33,4,0)*(2*((E17+F17)/1000-0.08)+2*VLOOKUP(K17,'1-專案資訊'!A25:I33,9,0)/100)*(G17/L17+1)*H17,0)</f>
        <v/>
      </c>
      <c r="Q17" s="75">
        <f>IF(AND(K17&lt;&gt;"",M17&gt;0,L17&lt;&gt;"",E17&lt;&gt;"",G17&lt;&gt;"",H17&lt;&gt;""),VLOOKUP(K17,'1-專案資訊'!A25:I33,4,0)*(MAX(E17,F17)/1000-0.08+2*VLOOKUP(K17,'1-專案資訊'!A25:I33,9,0)/100)*M17*(G17/L17+1)*H17,0)</f>
        <v/>
      </c>
      <c r="R17" s="75">
        <f>IF(AND(E17&lt;&gt;"",F17&lt;&gt;"",G17&lt;&gt;"",H17&lt;&gt;""),2*(E17+F17)*G17/1000000*H17,0)</f>
        <v/>
      </c>
      <c r="S17" s="75">
        <f>IF(AND(I17&lt;&gt;"",J17&lt;&gt;"",G17&lt;&gt;"",H17&lt;&gt;""),ROUNDUP((G17/1000+VLOOKUP(I17,'1-專案資訊'!A25:I33,8,0)/100)/$B$3,0)*J17*H17,0)</f>
        <v/>
      </c>
      <c r="T17" s="75">
        <f>IF(AND(S17&gt;0,I17&lt;&gt;""),S17*VLOOKUP(I17,'1-專案資訊'!A25:I33,8,0)/100,0)</f>
        <v/>
      </c>
      <c r="U17" s="75">
        <f>IF(OR(I17="#3 (D10)",I17="#4 (D13)",I17="#5 (D16)"),O17,0)+IF(OR(K17="#3 (D10)",K17="#4 (D13)",K17="#5 (D16)"),P17,0)+IF(OR(K17="#3 (D10)",K17="#4 (D13)",K17="#5 (D16)"),Q17,0)</f>
        <v/>
      </c>
      <c r="V17" s="75">
        <f>IF(AND(I17&lt;&gt;"",I17&lt;&gt;"#3 (D10)",I17&lt;&gt;"#4 (D13)",I17&lt;&gt;"#5 (D16)"),O17,0)+IF(AND(K17&lt;&gt;"",K17&lt;&gt;"#3 (D10)",K17&lt;&gt;"#4 (D13)",K17&lt;&gt;"#5 (D16)"),P17,0)+IF(AND(K17&lt;&gt;"",K17&lt;&gt;"#3 (D10)",K17&lt;&gt;"#4 (D13)",K17&lt;&gt;"#5 (D16)"),Q17,0)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 t="n"/>
      <c r="H18" s="70" t="n"/>
      <c r="I18" s="74" t="n"/>
      <c r="J18" s="70" t="n"/>
      <c r="K18" s="74" t="n"/>
      <c r="L18" s="70" t="n"/>
      <c r="M18" s="70" t="n"/>
      <c r="N18" s="75">
        <f>IF(AND(E18&lt;&gt;"",F18&lt;&gt;"",G18&lt;&gt;"",H18&lt;&gt;""),E18*F18*G18/1000000000*H18,0)</f>
        <v/>
      </c>
      <c r="O18" s="75">
        <f>IF(AND(I18&lt;&gt;"",J18&lt;&gt;"",G18&lt;&gt;"",H18&lt;&gt;""),VLOOKUP(I18,'1-專案資訊'!A25:I33,4,0)*(G18/1000+VLOOKUP(I18,'1-專案資訊'!A25:I33,8,0)/100)*J18*H18,0)</f>
        <v/>
      </c>
      <c r="P18" s="75">
        <f>IF(AND(K18&lt;&gt;"",L18&lt;&gt;"",E18&lt;&gt;"",F18&lt;&gt;"",G18&lt;&gt;"",H18&lt;&gt;""),VLOOKUP(K18,'1-專案資訊'!A25:I33,4,0)*(2*((E18+F18)/1000-0.08)+2*VLOOKUP(K18,'1-專案資訊'!A25:I33,9,0)/100)*(G18/L18+1)*H18,0)</f>
        <v/>
      </c>
      <c r="Q18" s="75">
        <f>IF(AND(K18&lt;&gt;"",M18&gt;0,L18&lt;&gt;"",E18&lt;&gt;"",G18&lt;&gt;"",H18&lt;&gt;""),VLOOKUP(K18,'1-專案資訊'!A25:I33,4,0)*(MAX(E18,F18)/1000-0.08+2*VLOOKUP(K18,'1-專案資訊'!A25:I33,9,0)/100)*M18*(G18/L18+1)*H18,0)</f>
        <v/>
      </c>
      <c r="R18" s="75">
        <f>IF(AND(E18&lt;&gt;"",F18&lt;&gt;"",G18&lt;&gt;"",H18&lt;&gt;""),2*(E18+F18)*G18/1000000*H18,0)</f>
        <v/>
      </c>
      <c r="S18" s="75">
        <f>IF(AND(I18&lt;&gt;"",J18&lt;&gt;"",G18&lt;&gt;"",H18&lt;&gt;""),ROUNDUP((G18/1000+VLOOKUP(I18,'1-專案資訊'!A25:I33,8,0)/100)/$B$3,0)*J18*H18,0)</f>
        <v/>
      </c>
      <c r="T18" s="75">
        <f>IF(AND(S18&gt;0,I18&lt;&gt;""),S18*VLOOKUP(I18,'1-專案資訊'!A25:I33,8,0)/100,0)</f>
        <v/>
      </c>
      <c r="U18" s="75">
        <f>IF(OR(I18="#3 (D10)",I18="#4 (D13)",I18="#5 (D16)"),O18,0)+IF(OR(K18="#3 (D10)",K18="#4 (D13)",K18="#5 (D16)"),P18,0)+IF(OR(K18="#3 (D10)",K18="#4 (D13)",K18="#5 (D16)"),Q18,0)</f>
        <v/>
      </c>
      <c r="V18" s="75">
        <f>IF(AND(I18&lt;&gt;"",I18&lt;&gt;"#3 (D10)",I18&lt;&gt;"#4 (D13)",I18&lt;&gt;"#5 (D16)"),O18,0)+IF(AND(K18&lt;&gt;"",K18&lt;&gt;"#3 (D10)",K18&lt;&gt;"#4 (D13)",K18&lt;&gt;"#5 (D16)"),P18,0)+IF(AND(K18&lt;&gt;"",K18&lt;&gt;"#3 (D10)",K18&lt;&gt;"#4 (D13)",K18&lt;&gt;"#5 (D16)"),Q18,0)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 t="n"/>
      <c r="H19" s="70" t="n"/>
      <c r="I19" s="74" t="n"/>
      <c r="J19" s="70" t="n"/>
      <c r="K19" s="74" t="n"/>
      <c r="L19" s="70" t="n"/>
      <c r="M19" s="70" t="n"/>
      <c r="N19" s="75">
        <f>IF(AND(E19&lt;&gt;"",F19&lt;&gt;"",G19&lt;&gt;"",H19&lt;&gt;""),E19*F19*G19/1000000000*H19,0)</f>
        <v/>
      </c>
      <c r="O19" s="75">
        <f>IF(AND(I19&lt;&gt;"",J19&lt;&gt;"",G19&lt;&gt;"",H19&lt;&gt;""),VLOOKUP(I19,'1-專案資訊'!A25:I33,4,0)*(G19/1000+VLOOKUP(I19,'1-專案資訊'!A25:I33,8,0)/100)*J19*H19,0)</f>
        <v/>
      </c>
      <c r="P19" s="75">
        <f>IF(AND(K19&lt;&gt;"",L19&lt;&gt;"",E19&lt;&gt;"",F19&lt;&gt;"",G19&lt;&gt;"",H19&lt;&gt;""),VLOOKUP(K19,'1-專案資訊'!A25:I33,4,0)*(2*((E19+F19)/1000-0.08)+2*VLOOKUP(K19,'1-專案資訊'!A25:I33,9,0)/100)*(G19/L19+1)*H19,0)</f>
        <v/>
      </c>
      <c r="Q19" s="75">
        <f>IF(AND(K19&lt;&gt;"",M19&gt;0,L19&lt;&gt;"",E19&lt;&gt;"",G19&lt;&gt;"",H19&lt;&gt;""),VLOOKUP(K19,'1-專案資訊'!A25:I33,4,0)*(MAX(E19,F19)/1000-0.08+2*VLOOKUP(K19,'1-專案資訊'!A25:I33,9,0)/100)*M19*(G19/L19+1)*H19,0)</f>
        <v/>
      </c>
      <c r="R19" s="75">
        <f>IF(AND(E19&lt;&gt;"",F19&lt;&gt;"",G19&lt;&gt;"",H19&lt;&gt;""),2*(E19+F19)*G19/1000000*H19,0)</f>
        <v/>
      </c>
      <c r="S19" s="75">
        <f>IF(AND(I19&lt;&gt;"",J19&lt;&gt;"",G19&lt;&gt;"",H19&lt;&gt;""),ROUNDUP((G19/1000+VLOOKUP(I19,'1-專案資訊'!A25:I33,8,0)/100)/$B$3,0)*J19*H19,0)</f>
        <v/>
      </c>
      <c r="T19" s="75">
        <f>IF(AND(S19&gt;0,I19&lt;&gt;""),S19*VLOOKUP(I19,'1-專案資訊'!A25:I33,8,0)/100,0)</f>
        <v/>
      </c>
      <c r="U19" s="75">
        <f>IF(OR(I19="#3 (D10)",I19="#4 (D13)",I19="#5 (D16)"),O19,0)+IF(OR(K19="#3 (D10)",K19="#4 (D13)",K19="#5 (D16)"),P19,0)+IF(OR(K19="#3 (D10)",K19="#4 (D13)",K19="#5 (D16)"),Q19,0)</f>
        <v/>
      </c>
      <c r="V19" s="75">
        <f>IF(AND(I19&lt;&gt;"",I19&lt;&gt;"#3 (D10)",I19&lt;&gt;"#4 (D13)",I19&lt;&gt;"#5 (D16)"),O19,0)+IF(AND(K19&lt;&gt;"",K19&lt;&gt;"#3 (D10)",K19&lt;&gt;"#4 (D13)",K19&lt;&gt;"#5 (D16)"),P19,0)+IF(AND(K19&lt;&gt;"",K19&lt;&gt;"#3 (D10)",K19&lt;&gt;"#4 (D13)",K19&lt;&gt;"#5 (D16)"),Q19,0)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 t="n"/>
      <c r="H20" s="70" t="n"/>
      <c r="I20" s="74" t="n"/>
      <c r="J20" s="70" t="n"/>
      <c r="K20" s="74" t="n"/>
      <c r="L20" s="70" t="n"/>
      <c r="M20" s="70" t="n"/>
      <c r="N20" s="75">
        <f>IF(AND(E20&lt;&gt;"",F20&lt;&gt;"",G20&lt;&gt;"",H20&lt;&gt;""),E20*F20*G20/1000000000*H20,0)</f>
        <v/>
      </c>
      <c r="O20" s="75">
        <f>IF(AND(I20&lt;&gt;"",J20&lt;&gt;"",G20&lt;&gt;"",H20&lt;&gt;""),VLOOKUP(I20,'1-專案資訊'!A25:I33,4,0)*(G20/1000+VLOOKUP(I20,'1-專案資訊'!A25:I33,8,0)/100)*J20*H20,0)</f>
        <v/>
      </c>
      <c r="P20" s="75">
        <f>IF(AND(K20&lt;&gt;"",L20&lt;&gt;"",E20&lt;&gt;"",F20&lt;&gt;"",G20&lt;&gt;"",H20&lt;&gt;""),VLOOKUP(K20,'1-專案資訊'!A25:I33,4,0)*(2*((E20+F20)/1000-0.08)+2*VLOOKUP(K20,'1-專案資訊'!A25:I33,9,0)/100)*(G20/L20+1)*H20,0)</f>
        <v/>
      </c>
      <c r="Q20" s="75">
        <f>IF(AND(K20&lt;&gt;"",M20&gt;0,L20&lt;&gt;"",E20&lt;&gt;"",G20&lt;&gt;"",H20&lt;&gt;""),VLOOKUP(K20,'1-專案資訊'!A25:I33,4,0)*(MAX(E20,F20)/1000-0.08+2*VLOOKUP(K20,'1-專案資訊'!A25:I33,9,0)/100)*M20*(G20/L20+1)*H20,0)</f>
        <v/>
      </c>
      <c r="R20" s="75">
        <f>IF(AND(E20&lt;&gt;"",F20&lt;&gt;"",G20&lt;&gt;"",H20&lt;&gt;""),2*(E20+F20)*G20/1000000*H20,0)</f>
        <v/>
      </c>
      <c r="S20" s="75">
        <f>IF(AND(I20&lt;&gt;"",J20&lt;&gt;"",G20&lt;&gt;"",H20&lt;&gt;""),ROUNDUP((G20/1000+VLOOKUP(I20,'1-專案資訊'!A25:I33,8,0)/100)/$B$3,0)*J20*H20,0)</f>
        <v/>
      </c>
      <c r="T20" s="75">
        <f>IF(AND(S20&gt;0,I20&lt;&gt;""),S20*VLOOKUP(I20,'1-專案資訊'!A25:I33,8,0)/100,0)</f>
        <v/>
      </c>
      <c r="U20" s="75">
        <f>IF(OR(I20="#3 (D10)",I20="#4 (D13)",I20="#5 (D16)"),O20,0)+IF(OR(K20="#3 (D10)",K20="#4 (D13)",K20="#5 (D16)"),P20,0)+IF(OR(K20="#3 (D10)",K20="#4 (D13)",K20="#5 (D16)"),Q20,0)</f>
        <v/>
      </c>
      <c r="V20" s="75">
        <f>IF(AND(I20&lt;&gt;"",I20&lt;&gt;"#3 (D10)",I20&lt;&gt;"#4 (D13)",I20&lt;&gt;"#5 (D16)"),O20,0)+IF(AND(K20&lt;&gt;"",K20&lt;&gt;"#3 (D10)",K20&lt;&gt;"#4 (D13)",K20&lt;&gt;"#5 (D16)"),P20,0)+IF(AND(K20&lt;&gt;"",K20&lt;&gt;"#3 (D10)",K20&lt;&gt;"#4 (D13)",K20&lt;&gt;"#5 (D16)"),Q20,0)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 t="n"/>
      <c r="H21" s="70" t="n"/>
      <c r="I21" s="74" t="n"/>
      <c r="J21" s="70" t="n"/>
      <c r="K21" s="74" t="n"/>
      <c r="L21" s="70" t="n"/>
      <c r="M21" s="70" t="n"/>
      <c r="N21" s="75">
        <f>IF(AND(E21&lt;&gt;"",F21&lt;&gt;"",G21&lt;&gt;"",H21&lt;&gt;""),E21*F21*G21/1000000000*H21,0)</f>
        <v/>
      </c>
      <c r="O21" s="75">
        <f>IF(AND(I21&lt;&gt;"",J21&lt;&gt;"",G21&lt;&gt;"",H21&lt;&gt;""),VLOOKUP(I21,'1-專案資訊'!A25:I33,4,0)*(G21/1000+VLOOKUP(I21,'1-專案資訊'!A25:I33,8,0)/100)*J21*H21,0)</f>
        <v/>
      </c>
      <c r="P21" s="75">
        <f>IF(AND(K21&lt;&gt;"",L21&lt;&gt;"",E21&lt;&gt;"",F21&lt;&gt;"",G21&lt;&gt;"",H21&lt;&gt;""),VLOOKUP(K21,'1-專案資訊'!A25:I33,4,0)*(2*((E21+F21)/1000-0.08)+2*VLOOKUP(K21,'1-專案資訊'!A25:I33,9,0)/100)*(G21/L21+1)*H21,0)</f>
        <v/>
      </c>
      <c r="Q21" s="75">
        <f>IF(AND(K21&lt;&gt;"",M21&gt;0,L21&lt;&gt;"",E21&lt;&gt;"",G21&lt;&gt;"",H21&lt;&gt;""),VLOOKUP(K21,'1-專案資訊'!A25:I33,4,0)*(MAX(E21,F21)/1000-0.08+2*VLOOKUP(K21,'1-專案資訊'!A25:I33,9,0)/100)*M21*(G21/L21+1)*H21,0)</f>
        <v/>
      </c>
      <c r="R21" s="75">
        <f>IF(AND(E21&lt;&gt;"",F21&lt;&gt;"",G21&lt;&gt;"",H21&lt;&gt;""),2*(E21+F21)*G21/1000000*H21,0)</f>
        <v/>
      </c>
      <c r="S21" s="75">
        <f>IF(AND(I21&lt;&gt;"",J21&lt;&gt;"",G21&lt;&gt;"",H21&lt;&gt;""),ROUNDUP((G21/1000+VLOOKUP(I21,'1-專案資訊'!A25:I33,8,0)/100)/$B$3,0)*J21*H21,0)</f>
        <v/>
      </c>
      <c r="T21" s="75">
        <f>IF(AND(S21&gt;0,I21&lt;&gt;""),S21*VLOOKUP(I21,'1-專案資訊'!A25:I33,8,0)/100,0)</f>
        <v/>
      </c>
      <c r="U21" s="75">
        <f>IF(OR(I21="#3 (D10)",I21="#4 (D13)",I21="#5 (D16)"),O21,0)+IF(OR(K21="#3 (D10)",K21="#4 (D13)",K21="#5 (D16)"),P21,0)+IF(OR(K21="#3 (D10)",K21="#4 (D13)",K21="#5 (D16)"),Q21,0)</f>
        <v/>
      </c>
      <c r="V21" s="75">
        <f>IF(AND(I21&lt;&gt;"",I21&lt;&gt;"#3 (D10)",I21&lt;&gt;"#4 (D13)",I21&lt;&gt;"#5 (D16)"),O21,0)+IF(AND(K21&lt;&gt;"",K21&lt;&gt;"#3 (D10)",K21&lt;&gt;"#4 (D13)",K21&lt;&gt;"#5 (D16)"),P21,0)+IF(AND(K21&lt;&gt;"",K21&lt;&gt;"#3 (D10)",K21&lt;&gt;"#4 (D13)",K21&lt;&gt;"#5 (D16)"),Q21,0)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 t="n"/>
      <c r="H22" s="70" t="n"/>
      <c r="I22" s="74" t="n"/>
      <c r="J22" s="70" t="n"/>
      <c r="K22" s="74" t="n"/>
      <c r="L22" s="70" t="n"/>
      <c r="M22" s="70" t="n"/>
      <c r="N22" s="75">
        <f>IF(AND(E22&lt;&gt;"",F22&lt;&gt;"",G22&lt;&gt;"",H22&lt;&gt;""),E22*F22*G22/1000000000*H22,0)</f>
        <v/>
      </c>
      <c r="O22" s="75">
        <f>IF(AND(I22&lt;&gt;"",J22&lt;&gt;"",G22&lt;&gt;"",H22&lt;&gt;""),VLOOKUP(I22,'1-專案資訊'!A25:I33,4,0)*(G22/1000+VLOOKUP(I22,'1-專案資訊'!A25:I33,8,0)/100)*J22*H22,0)</f>
        <v/>
      </c>
      <c r="P22" s="75">
        <f>IF(AND(K22&lt;&gt;"",L22&lt;&gt;"",E22&lt;&gt;"",F22&lt;&gt;"",G22&lt;&gt;"",H22&lt;&gt;""),VLOOKUP(K22,'1-專案資訊'!A25:I33,4,0)*(2*((E22+F22)/1000-0.08)+2*VLOOKUP(K22,'1-專案資訊'!A25:I33,9,0)/100)*(G22/L22+1)*H22,0)</f>
        <v/>
      </c>
      <c r="Q22" s="75">
        <f>IF(AND(K22&lt;&gt;"",M22&gt;0,L22&lt;&gt;"",E22&lt;&gt;"",G22&lt;&gt;"",H22&lt;&gt;""),VLOOKUP(K22,'1-專案資訊'!A25:I33,4,0)*(MAX(E22,F22)/1000-0.08+2*VLOOKUP(K22,'1-專案資訊'!A25:I33,9,0)/100)*M22*(G22/L22+1)*H22,0)</f>
        <v/>
      </c>
      <c r="R22" s="75">
        <f>IF(AND(E22&lt;&gt;"",F22&lt;&gt;"",G22&lt;&gt;"",H22&lt;&gt;""),2*(E22+F22)*G22/1000000*H22,0)</f>
        <v/>
      </c>
      <c r="S22" s="75">
        <f>IF(AND(I22&lt;&gt;"",J22&lt;&gt;"",G22&lt;&gt;"",H22&lt;&gt;""),ROUNDUP((G22/1000+VLOOKUP(I22,'1-專案資訊'!A25:I33,8,0)/100)/$B$3,0)*J22*H22,0)</f>
        <v/>
      </c>
      <c r="T22" s="75">
        <f>IF(AND(S22&gt;0,I22&lt;&gt;""),S22*VLOOKUP(I22,'1-專案資訊'!A25:I33,8,0)/100,0)</f>
        <v/>
      </c>
      <c r="U22" s="75">
        <f>IF(OR(I22="#3 (D10)",I22="#4 (D13)",I22="#5 (D16)"),O22,0)+IF(OR(K22="#3 (D10)",K22="#4 (D13)",K22="#5 (D16)"),P22,0)+IF(OR(K22="#3 (D10)",K22="#4 (D13)",K22="#5 (D16)"),Q22,0)</f>
        <v/>
      </c>
      <c r="V22" s="75">
        <f>IF(AND(I22&lt;&gt;"",I22&lt;&gt;"#3 (D10)",I22&lt;&gt;"#4 (D13)",I22&lt;&gt;"#5 (D16)"),O22,0)+IF(AND(K22&lt;&gt;"",K22&lt;&gt;"#3 (D10)",K22&lt;&gt;"#4 (D13)",K22&lt;&gt;"#5 (D16)"),P22,0)+IF(AND(K22&lt;&gt;"",K22&lt;&gt;"#3 (D10)",K22&lt;&gt;"#4 (D13)",K22&lt;&gt;"#5 (D16)"),Q22,0)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 t="n"/>
      <c r="H23" s="70" t="n"/>
      <c r="I23" s="74" t="n"/>
      <c r="J23" s="70" t="n"/>
      <c r="K23" s="74" t="n"/>
      <c r="L23" s="70" t="n"/>
      <c r="M23" s="70" t="n"/>
      <c r="N23" s="75">
        <f>IF(AND(E23&lt;&gt;"",F23&lt;&gt;"",G23&lt;&gt;"",H23&lt;&gt;""),E23*F23*G23/1000000000*H23,0)</f>
        <v/>
      </c>
      <c r="O23" s="75">
        <f>IF(AND(I23&lt;&gt;"",J23&lt;&gt;"",G23&lt;&gt;"",H23&lt;&gt;""),VLOOKUP(I23,'1-專案資訊'!A25:I33,4,0)*(G23/1000+VLOOKUP(I23,'1-專案資訊'!A25:I33,8,0)/100)*J23*H23,0)</f>
        <v/>
      </c>
      <c r="P23" s="75">
        <f>IF(AND(K23&lt;&gt;"",L23&lt;&gt;"",E23&lt;&gt;"",F23&lt;&gt;"",G23&lt;&gt;"",H23&lt;&gt;""),VLOOKUP(K23,'1-專案資訊'!A25:I33,4,0)*(2*((E23+F23)/1000-0.08)+2*VLOOKUP(K23,'1-專案資訊'!A25:I33,9,0)/100)*(G23/L23+1)*H23,0)</f>
        <v/>
      </c>
      <c r="Q23" s="75">
        <f>IF(AND(K23&lt;&gt;"",M23&gt;0,L23&lt;&gt;"",E23&lt;&gt;"",G23&lt;&gt;"",H23&lt;&gt;""),VLOOKUP(K23,'1-專案資訊'!A25:I33,4,0)*(MAX(E23,F23)/1000-0.08+2*VLOOKUP(K23,'1-專案資訊'!A25:I33,9,0)/100)*M23*(G23/L23+1)*H23,0)</f>
        <v/>
      </c>
      <c r="R23" s="75">
        <f>IF(AND(E23&lt;&gt;"",F23&lt;&gt;"",G23&lt;&gt;"",H23&lt;&gt;""),2*(E23+F23)*G23/1000000*H23,0)</f>
        <v/>
      </c>
      <c r="S23" s="75">
        <f>IF(AND(I23&lt;&gt;"",J23&lt;&gt;"",G23&lt;&gt;"",H23&lt;&gt;""),ROUNDUP((G23/1000+VLOOKUP(I23,'1-專案資訊'!A25:I33,8,0)/100)/$B$3,0)*J23*H23,0)</f>
        <v/>
      </c>
      <c r="T23" s="75">
        <f>IF(AND(S23&gt;0,I23&lt;&gt;""),S23*VLOOKUP(I23,'1-專案資訊'!A25:I33,8,0)/100,0)</f>
        <v/>
      </c>
      <c r="U23" s="75">
        <f>IF(OR(I23="#3 (D10)",I23="#4 (D13)",I23="#5 (D16)"),O23,0)+IF(OR(K23="#3 (D10)",K23="#4 (D13)",K23="#5 (D16)"),P23,0)+IF(OR(K23="#3 (D10)",K23="#4 (D13)",K23="#5 (D16)"),Q23,0)</f>
        <v/>
      </c>
      <c r="V23" s="75">
        <f>IF(AND(I23&lt;&gt;"",I23&lt;&gt;"#3 (D10)",I23&lt;&gt;"#4 (D13)",I23&lt;&gt;"#5 (D16)"),O23,0)+IF(AND(K23&lt;&gt;"",K23&lt;&gt;"#3 (D10)",K23&lt;&gt;"#4 (D13)",K23&lt;&gt;"#5 (D16)"),P23,0)+IF(AND(K23&lt;&gt;"",K23&lt;&gt;"#3 (D10)",K23&lt;&gt;"#4 (D13)",K23&lt;&gt;"#5 (D16)"),Q23,0)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 t="n"/>
      <c r="H24" s="70" t="n"/>
      <c r="I24" s="74" t="n"/>
      <c r="J24" s="70" t="n"/>
      <c r="K24" s="74" t="n"/>
      <c r="L24" s="70" t="n"/>
      <c r="M24" s="70" t="n"/>
      <c r="N24" s="75">
        <f>IF(AND(E24&lt;&gt;"",F24&lt;&gt;"",G24&lt;&gt;"",H24&lt;&gt;""),E24*F24*G24/1000000000*H24,0)</f>
        <v/>
      </c>
      <c r="O24" s="75">
        <f>IF(AND(I24&lt;&gt;"",J24&lt;&gt;"",G24&lt;&gt;"",H24&lt;&gt;""),VLOOKUP(I24,'1-專案資訊'!A25:I33,4,0)*(G24/1000+VLOOKUP(I24,'1-專案資訊'!A25:I33,8,0)/100)*J24*H24,0)</f>
        <v/>
      </c>
      <c r="P24" s="75">
        <f>IF(AND(K24&lt;&gt;"",L24&lt;&gt;"",E24&lt;&gt;"",F24&lt;&gt;"",G24&lt;&gt;"",H24&lt;&gt;""),VLOOKUP(K24,'1-專案資訊'!A25:I33,4,0)*(2*((E24+F24)/1000-0.08)+2*VLOOKUP(K24,'1-專案資訊'!A25:I33,9,0)/100)*(G24/L24+1)*H24,0)</f>
        <v/>
      </c>
      <c r="Q24" s="75">
        <f>IF(AND(K24&lt;&gt;"",M24&gt;0,L24&lt;&gt;"",E24&lt;&gt;"",G24&lt;&gt;"",H24&lt;&gt;""),VLOOKUP(K24,'1-專案資訊'!A25:I33,4,0)*(MAX(E24,F24)/1000-0.08+2*VLOOKUP(K24,'1-專案資訊'!A25:I33,9,0)/100)*M24*(G24/L24+1)*H24,0)</f>
        <v/>
      </c>
      <c r="R24" s="75">
        <f>IF(AND(E24&lt;&gt;"",F24&lt;&gt;"",G24&lt;&gt;"",H24&lt;&gt;""),2*(E24+F24)*G24/1000000*H24,0)</f>
        <v/>
      </c>
      <c r="S24" s="75">
        <f>IF(AND(I24&lt;&gt;"",J24&lt;&gt;"",G24&lt;&gt;"",H24&lt;&gt;""),ROUNDUP((G24/1000+VLOOKUP(I24,'1-專案資訊'!A25:I33,8,0)/100)/$B$3,0)*J24*H24,0)</f>
        <v/>
      </c>
      <c r="T24" s="75">
        <f>IF(AND(S24&gt;0,I24&lt;&gt;""),S24*VLOOKUP(I24,'1-專案資訊'!A25:I33,8,0)/100,0)</f>
        <v/>
      </c>
      <c r="U24" s="75">
        <f>IF(OR(I24="#3 (D10)",I24="#4 (D13)",I24="#5 (D16)"),O24,0)+IF(OR(K24="#3 (D10)",K24="#4 (D13)",K24="#5 (D16)"),P24,0)+IF(OR(K24="#3 (D10)",K24="#4 (D13)",K24="#5 (D16)"),Q24,0)</f>
        <v/>
      </c>
      <c r="V24" s="75">
        <f>IF(AND(I24&lt;&gt;"",I24&lt;&gt;"#3 (D10)",I24&lt;&gt;"#4 (D13)",I24&lt;&gt;"#5 (D16)"),O24,0)+IF(AND(K24&lt;&gt;"",K24&lt;&gt;"#3 (D10)",K24&lt;&gt;"#4 (D13)",K24&lt;&gt;"#5 (D16)"),P24,0)+IF(AND(K24&lt;&gt;"",K24&lt;&gt;"#3 (D10)",K24&lt;&gt;"#4 (D13)",K24&lt;&gt;"#5 (D16)"),Q24,0)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 t="n"/>
      <c r="H25" s="70" t="n"/>
      <c r="I25" s="74" t="n"/>
      <c r="J25" s="70" t="n"/>
      <c r="K25" s="74" t="n"/>
      <c r="L25" s="70" t="n"/>
      <c r="M25" s="70" t="n"/>
      <c r="N25" s="75">
        <f>IF(AND(E25&lt;&gt;"",F25&lt;&gt;"",G25&lt;&gt;"",H25&lt;&gt;""),E25*F25*G25/1000000000*H25,0)</f>
        <v/>
      </c>
      <c r="O25" s="75">
        <f>IF(AND(I25&lt;&gt;"",J25&lt;&gt;"",G25&lt;&gt;"",H25&lt;&gt;""),VLOOKUP(I25,'1-專案資訊'!A25:I33,4,0)*(G25/1000+VLOOKUP(I25,'1-專案資訊'!A25:I33,8,0)/100)*J25*H25,0)</f>
        <v/>
      </c>
      <c r="P25" s="75">
        <f>IF(AND(K25&lt;&gt;"",L25&lt;&gt;"",E25&lt;&gt;"",F25&lt;&gt;"",G25&lt;&gt;"",H25&lt;&gt;""),VLOOKUP(K25,'1-專案資訊'!A25:I33,4,0)*(2*((E25+F25)/1000-0.08)+2*VLOOKUP(K25,'1-專案資訊'!A25:I33,9,0)/100)*(G25/L25+1)*H25,0)</f>
        <v/>
      </c>
      <c r="Q25" s="75">
        <f>IF(AND(K25&lt;&gt;"",M25&gt;0,L25&lt;&gt;"",E25&lt;&gt;"",G25&lt;&gt;"",H25&lt;&gt;""),VLOOKUP(K25,'1-專案資訊'!A25:I33,4,0)*(MAX(E25,F25)/1000-0.08+2*VLOOKUP(K25,'1-專案資訊'!A25:I33,9,0)/100)*M25*(G25/L25+1)*H25,0)</f>
        <v/>
      </c>
      <c r="R25" s="75">
        <f>IF(AND(E25&lt;&gt;"",F25&lt;&gt;"",G25&lt;&gt;"",H25&lt;&gt;""),2*(E25+F25)*G25/1000000*H25,0)</f>
        <v/>
      </c>
      <c r="S25" s="75">
        <f>IF(AND(I25&lt;&gt;"",J25&lt;&gt;"",G25&lt;&gt;"",H25&lt;&gt;""),ROUNDUP((G25/1000+VLOOKUP(I25,'1-專案資訊'!A25:I33,8,0)/100)/$B$3,0)*J25*H25,0)</f>
        <v/>
      </c>
      <c r="T25" s="75">
        <f>IF(AND(S25&gt;0,I25&lt;&gt;""),S25*VLOOKUP(I25,'1-專案資訊'!A25:I33,8,0)/100,0)</f>
        <v/>
      </c>
      <c r="U25" s="75">
        <f>IF(OR(I25="#3 (D10)",I25="#4 (D13)",I25="#5 (D16)"),O25,0)+IF(OR(K25="#3 (D10)",K25="#4 (D13)",K25="#5 (D16)"),P25,0)+IF(OR(K25="#3 (D10)",K25="#4 (D13)",K25="#5 (D16)"),Q25,0)</f>
        <v/>
      </c>
      <c r="V25" s="75">
        <f>IF(AND(I25&lt;&gt;"",I25&lt;&gt;"#3 (D10)",I25&lt;&gt;"#4 (D13)",I25&lt;&gt;"#5 (D16)"),O25,0)+IF(AND(K25&lt;&gt;"",K25&lt;&gt;"#3 (D10)",K25&lt;&gt;"#4 (D13)",K25&lt;&gt;"#5 (D16)"),P25,0)+IF(AND(K25&lt;&gt;"",K25&lt;&gt;"#3 (D10)",K25&lt;&gt;"#4 (D13)",K25&lt;&gt;"#5 (D16)"),Q25,0)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 t="n"/>
      <c r="H26" s="70" t="n"/>
      <c r="I26" s="74" t="n"/>
      <c r="J26" s="70" t="n"/>
      <c r="K26" s="74" t="n"/>
      <c r="L26" s="70" t="n"/>
      <c r="M26" s="70" t="n"/>
      <c r="N26" s="75">
        <f>IF(AND(E26&lt;&gt;"",F26&lt;&gt;"",G26&lt;&gt;"",H26&lt;&gt;""),E26*F26*G26/1000000000*H26,0)</f>
        <v/>
      </c>
      <c r="O26" s="75">
        <f>IF(AND(I26&lt;&gt;"",J26&lt;&gt;"",G26&lt;&gt;"",H26&lt;&gt;""),VLOOKUP(I26,'1-專案資訊'!A25:I33,4,0)*(G26/1000+VLOOKUP(I26,'1-專案資訊'!A25:I33,8,0)/100)*J26*H26,0)</f>
        <v/>
      </c>
      <c r="P26" s="75">
        <f>IF(AND(K26&lt;&gt;"",L26&lt;&gt;"",E26&lt;&gt;"",F26&lt;&gt;"",G26&lt;&gt;"",H26&lt;&gt;""),VLOOKUP(K26,'1-專案資訊'!A25:I33,4,0)*(2*((E26+F26)/1000-0.08)+2*VLOOKUP(K26,'1-專案資訊'!A25:I33,9,0)/100)*(G26/L26+1)*H26,0)</f>
        <v/>
      </c>
      <c r="Q26" s="75">
        <f>IF(AND(K26&lt;&gt;"",M26&gt;0,L26&lt;&gt;"",E26&lt;&gt;"",G26&lt;&gt;"",H26&lt;&gt;""),VLOOKUP(K26,'1-專案資訊'!A25:I33,4,0)*(MAX(E26,F26)/1000-0.08+2*VLOOKUP(K26,'1-專案資訊'!A25:I33,9,0)/100)*M26*(G26/L26+1)*H26,0)</f>
        <v/>
      </c>
      <c r="R26" s="75">
        <f>IF(AND(E26&lt;&gt;"",F26&lt;&gt;"",G26&lt;&gt;"",H26&lt;&gt;""),2*(E26+F26)*G26/1000000*H26,0)</f>
        <v/>
      </c>
      <c r="S26" s="75">
        <f>IF(AND(I26&lt;&gt;"",J26&lt;&gt;"",G26&lt;&gt;"",H26&lt;&gt;""),ROUNDUP((G26/1000+VLOOKUP(I26,'1-專案資訊'!A25:I33,8,0)/100)/$B$3,0)*J26*H26,0)</f>
        <v/>
      </c>
      <c r="T26" s="75">
        <f>IF(AND(S26&gt;0,I26&lt;&gt;""),S26*VLOOKUP(I26,'1-專案資訊'!A25:I33,8,0)/100,0)</f>
        <v/>
      </c>
      <c r="U26" s="75">
        <f>IF(OR(I26="#3 (D10)",I26="#4 (D13)",I26="#5 (D16)"),O26,0)+IF(OR(K26="#3 (D10)",K26="#4 (D13)",K26="#5 (D16)"),P26,0)+IF(OR(K26="#3 (D10)",K26="#4 (D13)",K26="#5 (D16)"),Q26,0)</f>
        <v/>
      </c>
      <c r="V26" s="75">
        <f>IF(AND(I26&lt;&gt;"",I26&lt;&gt;"#3 (D10)",I26&lt;&gt;"#4 (D13)",I26&lt;&gt;"#5 (D16)"),O26,0)+IF(AND(K26&lt;&gt;"",K26&lt;&gt;"#3 (D10)",K26&lt;&gt;"#4 (D13)",K26&lt;&gt;"#5 (D16)"),P26,0)+IF(AND(K26&lt;&gt;"",K26&lt;&gt;"#3 (D10)",K26&lt;&gt;"#4 (D13)",K26&lt;&gt;"#5 (D16)"),Q26,0)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 t="n"/>
      <c r="H27" s="70" t="n"/>
      <c r="I27" s="74" t="n"/>
      <c r="J27" s="70" t="n"/>
      <c r="K27" s="74" t="n"/>
      <c r="L27" s="70" t="n"/>
      <c r="M27" s="70" t="n"/>
      <c r="N27" s="75">
        <f>IF(AND(E27&lt;&gt;"",F27&lt;&gt;"",G27&lt;&gt;"",H27&lt;&gt;""),E27*F27*G27/1000000000*H27,0)</f>
        <v/>
      </c>
      <c r="O27" s="75">
        <f>IF(AND(I27&lt;&gt;"",J27&lt;&gt;"",G27&lt;&gt;"",H27&lt;&gt;""),VLOOKUP(I27,'1-專案資訊'!A25:I33,4,0)*(G27/1000+VLOOKUP(I27,'1-專案資訊'!A25:I33,8,0)/100)*J27*H27,0)</f>
        <v/>
      </c>
      <c r="P27" s="75">
        <f>IF(AND(K27&lt;&gt;"",L27&lt;&gt;"",E27&lt;&gt;"",F27&lt;&gt;"",G27&lt;&gt;"",H27&lt;&gt;""),VLOOKUP(K27,'1-專案資訊'!A25:I33,4,0)*(2*((E27+F27)/1000-0.08)+2*VLOOKUP(K27,'1-專案資訊'!A25:I33,9,0)/100)*(G27/L27+1)*H27,0)</f>
        <v/>
      </c>
      <c r="Q27" s="75">
        <f>IF(AND(K27&lt;&gt;"",M27&gt;0,L27&lt;&gt;"",E27&lt;&gt;"",G27&lt;&gt;"",H27&lt;&gt;""),VLOOKUP(K27,'1-專案資訊'!A25:I33,4,0)*(MAX(E27,F27)/1000-0.08+2*VLOOKUP(K27,'1-專案資訊'!A25:I33,9,0)/100)*M27*(G27/L27+1)*H27,0)</f>
        <v/>
      </c>
      <c r="R27" s="75">
        <f>IF(AND(E27&lt;&gt;"",F27&lt;&gt;"",G27&lt;&gt;"",H27&lt;&gt;""),2*(E27+F27)*G27/1000000*H27,0)</f>
        <v/>
      </c>
      <c r="S27" s="75">
        <f>IF(AND(I27&lt;&gt;"",J27&lt;&gt;"",G27&lt;&gt;"",H27&lt;&gt;""),ROUNDUP((G27/1000+VLOOKUP(I27,'1-專案資訊'!A25:I33,8,0)/100)/$B$3,0)*J27*H27,0)</f>
        <v/>
      </c>
      <c r="T27" s="75">
        <f>IF(AND(S27&gt;0,I27&lt;&gt;""),S27*VLOOKUP(I27,'1-專案資訊'!A25:I33,8,0)/100,0)</f>
        <v/>
      </c>
      <c r="U27" s="75">
        <f>IF(OR(I27="#3 (D10)",I27="#4 (D13)",I27="#5 (D16)"),O27,0)+IF(OR(K27="#3 (D10)",K27="#4 (D13)",K27="#5 (D16)"),P27,0)+IF(OR(K27="#3 (D10)",K27="#4 (D13)",K27="#5 (D16)"),Q27,0)</f>
        <v/>
      </c>
      <c r="V27" s="75">
        <f>IF(AND(I27&lt;&gt;"",I27&lt;&gt;"#3 (D10)",I27&lt;&gt;"#4 (D13)",I27&lt;&gt;"#5 (D16)"),O27,0)+IF(AND(K27&lt;&gt;"",K27&lt;&gt;"#3 (D10)",K27&lt;&gt;"#4 (D13)",K27&lt;&gt;"#5 (D16)"),P27,0)+IF(AND(K27&lt;&gt;"",K27&lt;&gt;"#3 (D10)",K27&lt;&gt;"#4 (D13)",K27&lt;&gt;"#5 (D16)"),Q27,0)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 t="n"/>
      <c r="H28" s="70" t="n"/>
      <c r="I28" s="74" t="n"/>
      <c r="J28" s="70" t="n"/>
      <c r="K28" s="74" t="n"/>
      <c r="L28" s="70" t="n"/>
      <c r="M28" s="70" t="n"/>
      <c r="N28" s="75">
        <f>IF(AND(E28&lt;&gt;"",F28&lt;&gt;"",G28&lt;&gt;"",H28&lt;&gt;""),E28*F28*G28/1000000000*H28,0)</f>
        <v/>
      </c>
      <c r="O28" s="75">
        <f>IF(AND(I28&lt;&gt;"",J28&lt;&gt;"",G28&lt;&gt;"",H28&lt;&gt;""),VLOOKUP(I28,'1-專案資訊'!A25:I33,4,0)*(G28/1000+VLOOKUP(I28,'1-專案資訊'!A25:I33,8,0)/100)*J28*H28,0)</f>
        <v/>
      </c>
      <c r="P28" s="75">
        <f>IF(AND(K28&lt;&gt;"",L28&lt;&gt;"",E28&lt;&gt;"",F28&lt;&gt;"",G28&lt;&gt;"",H28&lt;&gt;""),VLOOKUP(K28,'1-專案資訊'!A25:I33,4,0)*(2*((E28+F28)/1000-0.08)+2*VLOOKUP(K28,'1-專案資訊'!A25:I33,9,0)/100)*(G28/L28+1)*H28,0)</f>
        <v/>
      </c>
      <c r="Q28" s="75">
        <f>IF(AND(K28&lt;&gt;"",M28&gt;0,L28&lt;&gt;"",E28&lt;&gt;"",G28&lt;&gt;"",H28&lt;&gt;""),VLOOKUP(K28,'1-專案資訊'!A25:I33,4,0)*(MAX(E28,F28)/1000-0.08+2*VLOOKUP(K28,'1-專案資訊'!A25:I33,9,0)/100)*M28*(G28/L28+1)*H28,0)</f>
        <v/>
      </c>
      <c r="R28" s="75">
        <f>IF(AND(E28&lt;&gt;"",F28&lt;&gt;"",G28&lt;&gt;"",H28&lt;&gt;""),2*(E28+F28)*G28/1000000*H28,0)</f>
        <v/>
      </c>
      <c r="S28" s="75">
        <f>IF(AND(I28&lt;&gt;"",J28&lt;&gt;"",G28&lt;&gt;"",H28&lt;&gt;""),ROUNDUP((G28/1000+VLOOKUP(I28,'1-專案資訊'!A25:I33,8,0)/100)/$B$3,0)*J28*H28,0)</f>
        <v/>
      </c>
      <c r="T28" s="75">
        <f>IF(AND(S28&gt;0,I28&lt;&gt;""),S28*VLOOKUP(I28,'1-專案資訊'!A25:I33,8,0)/100,0)</f>
        <v/>
      </c>
      <c r="U28" s="75">
        <f>IF(OR(I28="#3 (D10)",I28="#4 (D13)",I28="#5 (D16)"),O28,0)+IF(OR(K28="#3 (D10)",K28="#4 (D13)",K28="#5 (D16)"),P28,0)+IF(OR(K28="#3 (D10)",K28="#4 (D13)",K28="#5 (D16)"),Q28,0)</f>
        <v/>
      </c>
      <c r="V28" s="75">
        <f>IF(AND(I28&lt;&gt;"",I28&lt;&gt;"#3 (D10)",I28&lt;&gt;"#4 (D13)",I28&lt;&gt;"#5 (D16)"),O28,0)+IF(AND(K28&lt;&gt;"",K28&lt;&gt;"#3 (D10)",K28&lt;&gt;"#4 (D13)",K28&lt;&gt;"#5 (D16)"),P28,0)+IF(AND(K28&lt;&gt;"",K28&lt;&gt;"#3 (D10)",K28&lt;&gt;"#4 (D13)",K28&lt;&gt;"#5 (D16)"),Q28,0)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 t="n"/>
      <c r="H29" s="70" t="n"/>
      <c r="I29" s="74" t="n"/>
      <c r="J29" s="70" t="n"/>
      <c r="K29" s="74" t="n"/>
      <c r="L29" s="70" t="n"/>
      <c r="M29" s="70" t="n"/>
      <c r="N29" s="75">
        <f>IF(AND(E29&lt;&gt;"",F29&lt;&gt;"",G29&lt;&gt;"",H29&lt;&gt;""),E29*F29*G29/1000000000*H29,0)</f>
        <v/>
      </c>
      <c r="O29" s="75">
        <f>IF(AND(I29&lt;&gt;"",J29&lt;&gt;"",G29&lt;&gt;"",H29&lt;&gt;""),VLOOKUP(I29,'1-專案資訊'!A25:I33,4,0)*(G29/1000+VLOOKUP(I29,'1-專案資訊'!A25:I33,8,0)/100)*J29*H29,0)</f>
        <v/>
      </c>
      <c r="P29" s="75">
        <f>IF(AND(K29&lt;&gt;"",L29&lt;&gt;"",E29&lt;&gt;"",F29&lt;&gt;"",G29&lt;&gt;"",H29&lt;&gt;""),VLOOKUP(K29,'1-專案資訊'!A25:I33,4,0)*(2*((E29+F29)/1000-0.08)+2*VLOOKUP(K29,'1-專案資訊'!A25:I33,9,0)/100)*(G29/L29+1)*H29,0)</f>
        <v/>
      </c>
      <c r="Q29" s="75">
        <f>IF(AND(K29&lt;&gt;"",M29&gt;0,L29&lt;&gt;"",E29&lt;&gt;"",G29&lt;&gt;"",H29&lt;&gt;""),VLOOKUP(K29,'1-專案資訊'!A25:I33,4,0)*(MAX(E29,F29)/1000-0.08+2*VLOOKUP(K29,'1-專案資訊'!A25:I33,9,0)/100)*M29*(G29/L29+1)*H29,0)</f>
        <v/>
      </c>
      <c r="R29" s="75">
        <f>IF(AND(E29&lt;&gt;"",F29&lt;&gt;"",G29&lt;&gt;"",H29&lt;&gt;""),2*(E29+F29)*G29/1000000*H29,0)</f>
        <v/>
      </c>
      <c r="S29" s="75">
        <f>IF(AND(I29&lt;&gt;"",J29&lt;&gt;"",G29&lt;&gt;"",H29&lt;&gt;""),ROUNDUP((G29/1000+VLOOKUP(I29,'1-專案資訊'!A25:I33,8,0)/100)/$B$3,0)*J29*H29,0)</f>
        <v/>
      </c>
      <c r="T29" s="75">
        <f>IF(AND(S29&gt;0,I29&lt;&gt;""),S29*VLOOKUP(I29,'1-專案資訊'!A25:I33,8,0)/100,0)</f>
        <v/>
      </c>
      <c r="U29" s="75">
        <f>IF(OR(I29="#3 (D10)",I29="#4 (D13)",I29="#5 (D16)"),O29,0)+IF(OR(K29="#3 (D10)",K29="#4 (D13)",K29="#5 (D16)"),P29,0)+IF(OR(K29="#3 (D10)",K29="#4 (D13)",K29="#5 (D16)"),Q29,0)</f>
        <v/>
      </c>
      <c r="V29" s="75">
        <f>IF(AND(I29&lt;&gt;"",I29&lt;&gt;"#3 (D10)",I29&lt;&gt;"#4 (D13)",I29&lt;&gt;"#5 (D16)"),O29,0)+IF(AND(K29&lt;&gt;"",K29&lt;&gt;"#3 (D10)",K29&lt;&gt;"#4 (D13)",K29&lt;&gt;"#5 (D16)"),P29,0)+IF(AND(K29&lt;&gt;"",K29&lt;&gt;"#3 (D10)",K29&lt;&gt;"#4 (D13)",K29&lt;&gt;"#5 (D16)"),Q29,0)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 t="n"/>
      <c r="H30" s="70" t="n"/>
      <c r="I30" s="74" t="n"/>
      <c r="J30" s="70" t="n"/>
      <c r="K30" s="74" t="n"/>
      <c r="L30" s="70" t="n"/>
      <c r="M30" s="70" t="n"/>
      <c r="N30" s="75">
        <f>IF(AND(E30&lt;&gt;"",F30&lt;&gt;"",G30&lt;&gt;"",H30&lt;&gt;""),E30*F30*G30/1000000000*H30,0)</f>
        <v/>
      </c>
      <c r="O30" s="75">
        <f>IF(AND(I30&lt;&gt;"",J30&lt;&gt;"",G30&lt;&gt;"",H30&lt;&gt;""),VLOOKUP(I30,'1-專案資訊'!A25:I33,4,0)*(G30/1000+VLOOKUP(I30,'1-專案資訊'!A25:I33,8,0)/100)*J30*H30,0)</f>
        <v/>
      </c>
      <c r="P30" s="75">
        <f>IF(AND(K30&lt;&gt;"",L30&lt;&gt;"",E30&lt;&gt;"",F30&lt;&gt;"",G30&lt;&gt;"",H30&lt;&gt;""),VLOOKUP(K30,'1-專案資訊'!A25:I33,4,0)*(2*((E30+F30)/1000-0.08)+2*VLOOKUP(K30,'1-專案資訊'!A25:I33,9,0)/100)*(G30/L30+1)*H30,0)</f>
        <v/>
      </c>
      <c r="Q30" s="75">
        <f>IF(AND(K30&lt;&gt;"",M30&gt;0,L30&lt;&gt;"",E30&lt;&gt;"",G30&lt;&gt;"",H30&lt;&gt;""),VLOOKUP(K30,'1-專案資訊'!A25:I33,4,0)*(MAX(E30,F30)/1000-0.08+2*VLOOKUP(K30,'1-專案資訊'!A25:I33,9,0)/100)*M30*(G30/L30+1)*H30,0)</f>
        <v/>
      </c>
      <c r="R30" s="75">
        <f>IF(AND(E30&lt;&gt;"",F30&lt;&gt;"",G30&lt;&gt;"",H30&lt;&gt;""),2*(E30+F30)*G30/1000000*H30,0)</f>
        <v/>
      </c>
      <c r="S30" s="75">
        <f>IF(AND(I30&lt;&gt;"",J30&lt;&gt;"",G30&lt;&gt;"",H30&lt;&gt;""),ROUNDUP((G30/1000+VLOOKUP(I30,'1-專案資訊'!A25:I33,8,0)/100)/$B$3,0)*J30*H30,0)</f>
        <v/>
      </c>
      <c r="T30" s="75">
        <f>IF(AND(S30&gt;0,I30&lt;&gt;""),S30*VLOOKUP(I30,'1-專案資訊'!A25:I33,8,0)/100,0)</f>
        <v/>
      </c>
      <c r="U30" s="75">
        <f>IF(OR(I30="#3 (D10)",I30="#4 (D13)",I30="#5 (D16)"),O30,0)+IF(OR(K30="#3 (D10)",K30="#4 (D13)",K30="#5 (D16)"),P30,0)+IF(OR(K30="#3 (D10)",K30="#4 (D13)",K30="#5 (D16)"),Q30,0)</f>
        <v/>
      </c>
      <c r="V30" s="75">
        <f>IF(AND(I30&lt;&gt;"",I30&lt;&gt;"#3 (D10)",I30&lt;&gt;"#4 (D13)",I30&lt;&gt;"#5 (D16)"),O30,0)+IF(AND(K30&lt;&gt;"",K30&lt;&gt;"#3 (D10)",K30&lt;&gt;"#4 (D13)",K30&lt;&gt;"#5 (D16)"),P30,0)+IF(AND(K30&lt;&gt;"",K30&lt;&gt;"#3 (D10)",K30&lt;&gt;"#4 (D13)",K30&lt;&gt;"#5 (D16)"),Q30,0)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 t="n"/>
      <c r="H31" s="70" t="n"/>
      <c r="I31" s="74" t="n"/>
      <c r="J31" s="70" t="n"/>
      <c r="K31" s="74" t="n"/>
      <c r="L31" s="70" t="n"/>
      <c r="M31" s="70" t="n"/>
      <c r="N31" s="75">
        <f>IF(AND(E31&lt;&gt;"",F31&lt;&gt;"",G31&lt;&gt;"",H31&lt;&gt;""),E31*F31*G31/1000000000*H31,0)</f>
        <v/>
      </c>
      <c r="O31" s="75">
        <f>IF(AND(I31&lt;&gt;"",J31&lt;&gt;"",G31&lt;&gt;"",H31&lt;&gt;""),VLOOKUP(I31,'1-專案資訊'!A25:I33,4,0)*(G31/1000+VLOOKUP(I31,'1-專案資訊'!A25:I33,8,0)/100)*J31*H31,0)</f>
        <v/>
      </c>
      <c r="P31" s="75">
        <f>IF(AND(K31&lt;&gt;"",L31&lt;&gt;"",E31&lt;&gt;"",F31&lt;&gt;"",G31&lt;&gt;"",H31&lt;&gt;""),VLOOKUP(K31,'1-專案資訊'!A25:I33,4,0)*(2*((E31+F31)/1000-0.08)+2*VLOOKUP(K31,'1-專案資訊'!A25:I33,9,0)/100)*(G31/L31+1)*H31,0)</f>
        <v/>
      </c>
      <c r="Q31" s="75">
        <f>IF(AND(K31&lt;&gt;"",M31&gt;0,L31&lt;&gt;"",E31&lt;&gt;"",G31&lt;&gt;"",H31&lt;&gt;""),VLOOKUP(K31,'1-專案資訊'!A25:I33,4,0)*(MAX(E31,F31)/1000-0.08+2*VLOOKUP(K31,'1-專案資訊'!A25:I33,9,0)/100)*M31*(G31/L31+1)*H31,0)</f>
        <v/>
      </c>
      <c r="R31" s="75">
        <f>IF(AND(E31&lt;&gt;"",F31&lt;&gt;"",G31&lt;&gt;"",H31&lt;&gt;""),2*(E31+F31)*G31/1000000*H31,0)</f>
        <v/>
      </c>
      <c r="S31" s="75">
        <f>IF(AND(I31&lt;&gt;"",J31&lt;&gt;"",G31&lt;&gt;"",H31&lt;&gt;""),ROUNDUP((G31/1000+VLOOKUP(I31,'1-專案資訊'!A25:I33,8,0)/100)/$B$3,0)*J31*H31,0)</f>
        <v/>
      </c>
      <c r="T31" s="75">
        <f>IF(AND(S31&gt;0,I31&lt;&gt;""),S31*VLOOKUP(I31,'1-專案資訊'!A25:I33,8,0)/100,0)</f>
        <v/>
      </c>
      <c r="U31" s="75">
        <f>IF(OR(I31="#3 (D10)",I31="#4 (D13)",I31="#5 (D16)"),O31,0)+IF(OR(K31="#3 (D10)",K31="#4 (D13)",K31="#5 (D16)"),P31,0)+IF(OR(K31="#3 (D10)",K31="#4 (D13)",K31="#5 (D16)"),Q31,0)</f>
        <v/>
      </c>
      <c r="V31" s="75">
        <f>IF(AND(I31&lt;&gt;"",I31&lt;&gt;"#3 (D10)",I31&lt;&gt;"#4 (D13)",I31&lt;&gt;"#5 (D16)"),O31,0)+IF(AND(K31&lt;&gt;"",K31&lt;&gt;"#3 (D10)",K31&lt;&gt;"#4 (D13)",K31&lt;&gt;"#5 (D16)"),P31,0)+IF(AND(K31&lt;&gt;"",K31&lt;&gt;"#3 (D10)",K31&lt;&gt;"#4 (D13)",K31&lt;&gt;"#5 (D16)"),Q31,0)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 t="n"/>
      <c r="H32" s="70" t="n"/>
      <c r="I32" s="74" t="n"/>
      <c r="J32" s="70" t="n"/>
      <c r="K32" s="74" t="n"/>
      <c r="L32" s="70" t="n"/>
      <c r="M32" s="70" t="n"/>
      <c r="N32" s="75">
        <f>IF(AND(E32&lt;&gt;"",F32&lt;&gt;"",G32&lt;&gt;"",H32&lt;&gt;""),E32*F32*G32/1000000000*H32,0)</f>
        <v/>
      </c>
      <c r="O32" s="75">
        <f>IF(AND(I32&lt;&gt;"",J32&lt;&gt;"",G32&lt;&gt;"",H32&lt;&gt;""),VLOOKUP(I32,'1-專案資訊'!A25:I33,4,0)*(G32/1000+VLOOKUP(I32,'1-專案資訊'!A25:I33,8,0)/100)*J32*H32,0)</f>
        <v/>
      </c>
      <c r="P32" s="75">
        <f>IF(AND(K32&lt;&gt;"",L32&lt;&gt;"",E32&lt;&gt;"",F32&lt;&gt;"",G32&lt;&gt;"",H32&lt;&gt;""),VLOOKUP(K32,'1-專案資訊'!A25:I33,4,0)*(2*((E32+F32)/1000-0.08)+2*VLOOKUP(K32,'1-專案資訊'!A25:I33,9,0)/100)*(G32/L32+1)*H32,0)</f>
        <v/>
      </c>
      <c r="Q32" s="75">
        <f>IF(AND(K32&lt;&gt;"",M32&gt;0,L32&lt;&gt;"",E32&lt;&gt;"",G32&lt;&gt;"",H32&lt;&gt;""),VLOOKUP(K32,'1-專案資訊'!A25:I33,4,0)*(MAX(E32,F32)/1000-0.08+2*VLOOKUP(K32,'1-專案資訊'!A25:I33,9,0)/100)*M32*(G32/L32+1)*H32,0)</f>
        <v/>
      </c>
      <c r="R32" s="75">
        <f>IF(AND(E32&lt;&gt;"",F32&lt;&gt;"",G32&lt;&gt;"",H32&lt;&gt;""),2*(E32+F32)*G32/1000000*H32,0)</f>
        <v/>
      </c>
      <c r="S32" s="75">
        <f>IF(AND(I32&lt;&gt;"",J32&lt;&gt;"",G32&lt;&gt;"",H32&lt;&gt;""),ROUNDUP((G32/1000+VLOOKUP(I32,'1-專案資訊'!A25:I33,8,0)/100)/$B$3,0)*J32*H32,0)</f>
        <v/>
      </c>
      <c r="T32" s="75">
        <f>IF(AND(S32&gt;0,I32&lt;&gt;""),S32*VLOOKUP(I32,'1-專案資訊'!A25:I33,8,0)/100,0)</f>
        <v/>
      </c>
      <c r="U32" s="75">
        <f>IF(OR(I32="#3 (D10)",I32="#4 (D13)",I32="#5 (D16)"),O32,0)+IF(OR(K32="#3 (D10)",K32="#4 (D13)",K32="#5 (D16)"),P32,0)+IF(OR(K32="#3 (D10)",K32="#4 (D13)",K32="#5 (D16)"),Q32,0)</f>
        <v/>
      </c>
      <c r="V32" s="75">
        <f>IF(AND(I32&lt;&gt;"",I32&lt;&gt;"#3 (D10)",I32&lt;&gt;"#4 (D13)",I32&lt;&gt;"#5 (D16)"),O32,0)+IF(AND(K32&lt;&gt;"",K32&lt;&gt;"#3 (D10)",K32&lt;&gt;"#4 (D13)",K32&lt;&gt;"#5 (D16)"),P32,0)+IF(AND(K32&lt;&gt;"",K32&lt;&gt;"#3 (D10)",K32&lt;&gt;"#4 (D13)",K32&lt;&gt;"#5 (D16)"),Q32,0)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 t="n"/>
      <c r="H33" s="70" t="n"/>
      <c r="I33" s="74" t="n"/>
      <c r="J33" s="70" t="n"/>
      <c r="K33" s="74" t="n"/>
      <c r="L33" s="70" t="n"/>
      <c r="M33" s="70" t="n"/>
      <c r="N33" s="75">
        <f>IF(AND(E33&lt;&gt;"",F33&lt;&gt;"",G33&lt;&gt;"",H33&lt;&gt;""),E33*F33*G33/1000000000*H33,0)</f>
        <v/>
      </c>
      <c r="O33" s="75">
        <f>IF(AND(I33&lt;&gt;"",J33&lt;&gt;"",G33&lt;&gt;"",H33&lt;&gt;""),VLOOKUP(I33,'1-專案資訊'!A25:I33,4,0)*(G33/1000+VLOOKUP(I33,'1-專案資訊'!A25:I33,8,0)/100)*J33*H33,0)</f>
        <v/>
      </c>
      <c r="P33" s="75">
        <f>IF(AND(K33&lt;&gt;"",L33&lt;&gt;"",E33&lt;&gt;"",F33&lt;&gt;"",G33&lt;&gt;"",H33&lt;&gt;""),VLOOKUP(K33,'1-專案資訊'!A25:I33,4,0)*(2*((E33+F33)/1000-0.08)+2*VLOOKUP(K33,'1-專案資訊'!A25:I33,9,0)/100)*(G33/L33+1)*H33,0)</f>
        <v/>
      </c>
      <c r="Q33" s="75">
        <f>IF(AND(K33&lt;&gt;"",M33&gt;0,L33&lt;&gt;"",E33&lt;&gt;"",G33&lt;&gt;"",H33&lt;&gt;""),VLOOKUP(K33,'1-專案資訊'!A25:I33,4,0)*(MAX(E33,F33)/1000-0.08+2*VLOOKUP(K33,'1-專案資訊'!A25:I33,9,0)/100)*M33*(G33/L33+1)*H33,0)</f>
        <v/>
      </c>
      <c r="R33" s="75">
        <f>IF(AND(E33&lt;&gt;"",F33&lt;&gt;"",G33&lt;&gt;"",H33&lt;&gt;""),2*(E33+F33)*G33/1000000*H33,0)</f>
        <v/>
      </c>
      <c r="S33" s="75">
        <f>IF(AND(I33&lt;&gt;"",J33&lt;&gt;"",G33&lt;&gt;"",H33&lt;&gt;""),ROUNDUP((G33/1000+VLOOKUP(I33,'1-專案資訊'!A25:I33,8,0)/100)/$B$3,0)*J33*H33,0)</f>
        <v/>
      </c>
      <c r="T33" s="75">
        <f>IF(AND(S33&gt;0,I33&lt;&gt;""),S33*VLOOKUP(I33,'1-專案資訊'!A25:I33,8,0)/100,0)</f>
        <v/>
      </c>
      <c r="U33" s="75">
        <f>IF(OR(I33="#3 (D10)",I33="#4 (D13)",I33="#5 (D16)"),O33,0)+IF(OR(K33="#3 (D10)",K33="#4 (D13)",K33="#5 (D16)"),P33,0)+IF(OR(K33="#3 (D10)",K33="#4 (D13)",K33="#5 (D16)"),Q33,0)</f>
        <v/>
      </c>
      <c r="V33" s="75">
        <f>IF(AND(I33&lt;&gt;"",I33&lt;&gt;"#3 (D10)",I33&lt;&gt;"#4 (D13)",I33&lt;&gt;"#5 (D16)"),O33,0)+IF(AND(K33&lt;&gt;"",K33&lt;&gt;"#3 (D10)",K33&lt;&gt;"#4 (D13)",K33&lt;&gt;"#5 (D16)"),P33,0)+IF(AND(K33&lt;&gt;"",K33&lt;&gt;"#3 (D10)",K33&lt;&gt;"#4 (D13)",K33&lt;&gt;"#5 (D16)"),Q33,0)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 t="n"/>
      <c r="H34" s="70" t="n"/>
      <c r="I34" s="74" t="n"/>
      <c r="J34" s="70" t="n"/>
      <c r="K34" s="74" t="n"/>
      <c r="L34" s="70" t="n"/>
      <c r="M34" s="70" t="n"/>
      <c r="N34" s="75">
        <f>IF(AND(E34&lt;&gt;"",F34&lt;&gt;"",G34&lt;&gt;"",H34&lt;&gt;""),E34*F34*G34/1000000000*H34,0)</f>
        <v/>
      </c>
      <c r="O34" s="75">
        <f>IF(AND(I34&lt;&gt;"",J34&lt;&gt;"",G34&lt;&gt;"",H34&lt;&gt;""),VLOOKUP(I34,'1-專案資訊'!A25:I33,4,0)*(G34/1000+VLOOKUP(I34,'1-專案資訊'!A25:I33,8,0)/100)*J34*H34,0)</f>
        <v/>
      </c>
      <c r="P34" s="75">
        <f>IF(AND(K34&lt;&gt;"",L34&lt;&gt;"",E34&lt;&gt;"",F34&lt;&gt;"",G34&lt;&gt;"",H34&lt;&gt;""),VLOOKUP(K34,'1-專案資訊'!A25:I33,4,0)*(2*((E34+F34)/1000-0.08)+2*VLOOKUP(K34,'1-專案資訊'!A25:I33,9,0)/100)*(G34/L34+1)*H34,0)</f>
        <v/>
      </c>
      <c r="Q34" s="75">
        <f>IF(AND(K34&lt;&gt;"",M34&gt;0,L34&lt;&gt;"",E34&lt;&gt;"",G34&lt;&gt;"",H34&lt;&gt;""),VLOOKUP(K34,'1-專案資訊'!A25:I33,4,0)*(MAX(E34,F34)/1000-0.08+2*VLOOKUP(K34,'1-專案資訊'!A25:I33,9,0)/100)*M34*(G34/L34+1)*H34,0)</f>
        <v/>
      </c>
      <c r="R34" s="75">
        <f>IF(AND(E34&lt;&gt;"",F34&lt;&gt;"",G34&lt;&gt;"",H34&lt;&gt;""),2*(E34+F34)*G34/1000000*H34,0)</f>
        <v/>
      </c>
      <c r="S34" s="75">
        <f>IF(AND(I34&lt;&gt;"",J34&lt;&gt;"",G34&lt;&gt;"",H34&lt;&gt;""),ROUNDUP((G34/1000+VLOOKUP(I34,'1-專案資訊'!A25:I33,8,0)/100)/$B$3,0)*J34*H34,0)</f>
        <v/>
      </c>
      <c r="T34" s="75">
        <f>IF(AND(S34&gt;0,I34&lt;&gt;""),S34*VLOOKUP(I34,'1-專案資訊'!A25:I33,8,0)/100,0)</f>
        <v/>
      </c>
      <c r="U34" s="75">
        <f>IF(OR(I34="#3 (D10)",I34="#4 (D13)",I34="#5 (D16)"),O34,0)+IF(OR(K34="#3 (D10)",K34="#4 (D13)",K34="#5 (D16)"),P34,0)+IF(OR(K34="#3 (D10)",K34="#4 (D13)",K34="#5 (D16)"),Q34,0)</f>
        <v/>
      </c>
      <c r="V34" s="75">
        <f>IF(AND(I34&lt;&gt;"",I34&lt;&gt;"#3 (D10)",I34&lt;&gt;"#4 (D13)",I34&lt;&gt;"#5 (D16)"),O34,0)+IF(AND(K34&lt;&gt;"",K34&lt;&gt;"#3 (D10)",K34&lt;&gt;"#4 (D13)",K34&lt;&gt;"#5 (D16)"),P34,0)+IF(AND(K34&lt;&gt;"",K34&lt;&gt;"#3 (D10)",K34&lt;&gt;"#4 (D13)",K34&lt;&gt;"#5 (D16)"),Q34,0)</f>
        <v/>
      </c>
    </row>
    <row r="35" ht="16.5" customHeight="1" s="48">
      <c r="B35" s="76" t="inlineStr">
        <is>
          <t>合計</t>
        </is>
      </c>
      <c r="N35" s="77">
        <f>SUM(N5:N34)</f>
        <v/>
      </c>
      <c r="O35" s="77">
        <f>SUM(O5:O34)</f>
        <v/>
      </c>
      <c r="P35" s="77">
        <f>SUM(P5:P34)</f>
        <v/>
      </c>
      <c r="Q35" s="77">
        <f>SUM(Q5:Q34)</f>
        <v/>
      </c>
      <c r="R35" s="77">
        <f>SUM(R5:R34)</f>
        <v/>
      </c>
      <c r="S35" s="77">
        <f>SUM(S5:S34)</f>
        <v/>
      </c>
      <c r="T35" s="77">
        <f>SUM(T5:T34)</f>
        <v/>
      </c>
      <c r="U35" s="77">
        <f>SUM(U5:U34)</f>
        <v/>
      </c>
      <c r="V35" s="77">
        <f>SUM(V5:V34)</f>
        <v/>
      </c>
    </row>
  </sheetData>
  <mergeCells count="2">
    <mergeCell ref="A2:X2"/>
    <mergeCell ref="A1:X1"/>
  </mergeCells>
  <dataValidations count="3">
    <dataValidation sqref="D5:D34" showDropDown="0" showInputMessage="0" showErrorMessage="0" allowBlank="1" type="list" errorStyle="stop" operator="between">
      <formula1>"C-01,C-02"</formula1>
      <formula2>0</formula2>
    </dataValidation>
    <dataValidation sqref="I5:I34" showDropDown="0" showInputMessage="0" showErrorMessage="0" allowBlank="1" type="list" errorStyle="stop" operator="between">
      <formula1>"#3 (D10),#4 (D13),#5 (D16),#6 (D19),#7 (D22),#8 (D25),#9 (D29),#10 (D32),#11 (D36)"</formula1>
      <formula2>0</formula2>
    </dataValidation>
    <dataValidation sqref="K5:K34" showDropDown="0" showInputMessage="0" showErrorMessage="0" allowBlank="1" type="list" errorStyle="stop" operator="between">
      <formula1>"#3 (D10),#4 (D13),#5 (D16)"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AA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3"/>
    <col width="10" customWidth="1" style="47" min="4" max="4"/>
    <col width="9" customWidth="1" style="47" min="5" max="7"/>
    <col width="7" customWidth="1" style="47" min="8" max="8"/>
    <col width="12" customWidth="1" style="47" min="9" max="9"/>
    <col width="7" customWidth="1" style="47" min="10" max="10"/>
    <col width="12" customWidth="1" style="47" min="11" max="11"/>
    <col width="7" customWidth="1" style="47" min="12" max="12"/>
    <col width="12" customWidth="1" style="47" min="13" max="13"/>
    <col width="9" customWidth="1" style="47" min="14" max="15"/>
    <col width="7" customWidth="1" style="47" min="16" max="16"/>
    <col width="11" customWidth="1" style="47" min="17" max="23"/>
    <col width="12" customWidth="1" style="47" min="24" max="25"/>
  </cols>
  <sheetData>
    <row r="1" ht="17.25" customHeight="1" s="48">
      <c r="A1" s="68" t="inlineStr">
        <is>
          <t>梁 數量計算表</t>
        </is>
      </c>
    </row>
    <row r="2" ht="13.5" customHeight="1" s="48">
      <c r="A2" s="50" t="inlineStr">
        <is>
          <t>上下筋含搭接40D。箍筋含12D彎鉤，分密疏區。</t>
        </is>
      </c>
    </row>
    <row r="3" ht="15" customHeight="1" s="48">
      <c r="A3" s="51" t="inlineStr">
        <is>
          <t>預設鋼筋長度 (m):</t>
        </is>
      </c>
      <c r="B3" s="71" t="n">
        <v>6</v>
      </c>
      <c r="C3" s="50" t="inlineStr">
        <is>
          <t>← 可調整</t>
        </is>
      </c>
    </row>
    <row r="4" ht="1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梁編號</t>
        </is>
      </c>
      <c r="D4" s="59" t="inlineStr">
        <is>
          <t>▼型式</t>
        </is>
      </c>
      <c r="E4" s="60" t="inlineStr">
        <is>
          <t>B (mm)</t>
        </is>
      </c>
      <c r="F4" s="60" t="inlineStr">
        <is>
          <t>D (mm)</t>
        </is>
      </c>
      <c r="G4" s="60" t="inlineStr">
        <is>
          <t>L (mm)</t>
        </is>
      </c>
      <c r="H4" s="59" t="inlineStr">
        <is>
          <t>數量</t>
        </is>
      </c>
      <c r="I4" s="59" t="inlineStr">
        <is>
          <t>▼上筋</t>
        </is>
      </c>
      <c r="J4" s="59" t="inlineStr">
        <is>
          <t>上支</t>
        </is>
      </c>
      <c r="K4" s="59" t="inlineStr">
        <is>
          <t>▼下筋</t>
        </is>
      </c>
      <c r="L4" s="59" t="inlineStr">
        <is>
          <t>下支</t>
        </is>
      </c>
      <c r="M4" s="59" t="inlineStr">
        <is>
          <t>▼箍筋</t>
        </is>
      </c>
      <c r="N4" s="59" t="inlineStr">
        <is>
          <t>密箍 (mm)</t>
        </is>
      </c>
      <c r="O4" s="59" t="inlineStr">
        <is>
          <t>疏箍 (mm)</t>
        </is>
      </c>
      <c r="P4" s="59" t="inlineStr">
        <is>
          <t>腰筋</t>
        </is>
      </c>
      <c r="Q4" s="59" t="inlineStr">
        <is>
          <t>混凝土 (m3)</t>
        </is>
      </c>
      <c r="R4" s="59" t="inlineStr">
        <is>
          <t>上筋重 (kg)</t>
        </is>
      </c>
      <c r="S4" s="59" t="inlineStr">
        <is>
          <t>下筋重 (kg)</t>
        </is>
      </c>
      <c r="T4" s="59" t="inlineStr">
        <is>
          <t>箍筋重 (kg)</t>
        </is>
      </c>
      <c r="U4" s="59" t="inlineStr">
        <is>
          <t>模板 (m2)</t>
        </is>
      </c>
      <c r="V4" s="59" t="inlineStr">
        <is>
          <t>搭接次數</t>
        </is>
      </c>
      <c r="W4" s="59" t="inlineStr">
        <is>
          <t>搭接長度 (m)</t>
        </is>
      </c>
      <c r="X4" s="72" t="inlineStr">
        <is>
          <t>SD280 (kg)</t>
        </is>
      </c>
      <c r="Y4" s="73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 t="n"/>
      <c r="H5" s="70" t="n"/>
      <c r="I5" s="74" t="n"/>
      <c r="J5" s="70" t="n"/>
      <c r="K5" s="74" t="n"/>
      <c r="L5" s="70" t="n"/>
      <c r="M5" s="74" t="n"/>
      <c r="N5" s="70" t="n"/>
      <c r="O5" s="70" t="n"/>
      <c r="P5" s="70" t="n"/>
      <c r="Q5" s="75">
        <f>IF(AND(E5&lt;&gt;"",F5&lt;&gt;"",G5&lt;&gt;"",H5&lt;&gt;""),E5*F5*G5/1000000000*H5,0)</f>
        <v/>
      </c>
      <c r="R5" s="75">
        <f>IF(AND(I5&lt;&gt;"",J5&lt;&gt;"",G5&lt;&gt;"",H5&lt;&gt;""),VLOOKUP(I5,'1-專案資訊'!A25:I33,4,0)*(G5/1000+2*VLOOKUP(I5,'1-專案資訊'!A25:I33,8,0)/100)*J5*H5,0)</f>
        <v/>
      </c>
      <c r="S5" s="75">
        <f>IF(AND(K5&lt;&gt;"",L5&lt;&gt;"",G5&lt;&gt;"",H5&lt;&gt;""),VLOOKUP(K5,'1-專案資訊'!A25:I33,4,0)*(G5/1000+2*VLOOKUP(K5,'1-專案資訊'!A25:I33,8,0)/100)*L5*H5,0)</f>
        <v/>
      </c>
      <c r="T5" s="75">
        <f>IF(AND(M5&lt;&gt;"",N5&lt;&gt;"",O5&lt;&gt;"",E5&lt;&gt;"",F5&lt;&gt;"",G5&lt;&gt;"",H5&lt;&gt;""),VLOOKUP(M5,'1-專案資訊'!A25:I33,4,0)*(2*((E5+F5)/1000-0.08)+2*VLOOKUP(M5,'1-專案資訊'!A25:I33,9,0)/100)*((G5*0.4/N5)+(G5*0.6/O5)+2)*H5,0)</f>
        <v/>
      </c>
      <c r="U5" s="75">
        <f>IF(AND(E5&lt;&gt;"",F5&lt;&gt;"",G5&lt;&gt;"",H5&lt;&gt;""),(2*F5+E5)*G5/1000000*H5,0)</f>
        <v/>
      </c>
      <c r="V5" s="75">
        <f>IF(AND(I5&lt;&gt;"",J5&lt;&gt;"",G5&lt;&gt;"",H5&lt;&gt;""),(ROUNDUP((G5/1000+2*VLOOKUP(I5,'1-專案資訊'!A25:I33,8,0)/100)/$B$3,0)-1)*(J5+L5)*H5,0)</f>
        <v/>
      </c>
      <c r="W5" s="75">
        <f>IF(AND(V5&gt;0,I5&lt;&gt;""),V5*VLOOKUP(I5,'1-專案資訊'!A25:I33,8,0)/100,0)</f>
        <v/>
      </c>
      <c r="X5" s="75">
        <f>IF(OR(I5="#3 (D10)",I5="#4 (D13)",I5="#5 (D16)"),R5,0)+IF(OR(K5="#3 (D10)",K5="#4 (D13)",K5="#5 (D16)"),S5,0)+IF(OR(M5="#3 (D10)",M5="#4 (D13)",M5="#5 (D16)"),T5,0)</f>
        <v/>
      </c>
      <c r="Y5" s="75">
        <f>IF(AND(I5&lt;&gt;"",I5&lt;&gt;"#3 (D10)",I5&lt;&gt;"#4 (D13)",I5&lt;&gt;"#5 (D16)"),R5,0)+IF(AND(K5&lt;&gt;"",K5&lt;&gt;"#3 (D10)",K5&lt;&gt;"#4 (D13)",K5&lt;&gt;"#5 (D16)"),S5,0)+IF(AND(M5&lt;&gt;"",M5&lt;&gt;"#3 (D10)",M5&lt;&gt;"#4 (D13)",M5&lt;&gt;"#5 (D16)"),T5,0)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 t="n"/>
      <c r="H6" s="70" t="n"/>
      <c r="I6" s="74" t="n"/>
      <c r="J6" s="70" t="n"/>
      <c r="K6" s="74" t="n"/>
      <c r="L6" s="70" t="n"/>
      <c r="M6" s="74" t="n"/>
      <c r="N6" s="70" t="n"/>
      <c r="O6" s="70" t="n"/>
      <c r="P6" s="70" t="n"/>
      <c r="Q6" s="75">
        <f>IF(AND(E6&lt;&gt;"",F6&lt;&gt;"",G6&lt;&gt;"",H6&lt;&gt;""),E6*F6*G6/1000000000*H6,0)</f>
        <v/>
      </c>
      <c r="R6" s="75">
        <f>IF(AND(I6&lt;&gt;"",J6&lt;&gt;"",G6&lt;&gt;"",H6&lt;&gt;""),VLOOKUP(I6,'1-專案資訊'!A25:I33,4,0)*(G6/1000+2*VLOOKUP(I6,'1-專案資訊'!A25:I33,8,0)/100)*J6*H6,0)</f>
        <v/>
      </c>
      <c r="S6" s="75">
        <f>IF(AND(K6&lt;&gt;"",L6&lt;&gt;"",G6&lt;&gt;"",H6&lt;&gt;""),VLOOKUP(K6,'1-專案資訊'!A25:I33,4,0)*(G6/1000+2*VLOOKUP(K6,'1-專案資訊'!A25:I33,8,0)/100)*L6*H6,0)</f>
        <v/>
      </c>
      <c r="T6" s="75">
        <f>IF(AND(M6&lt;&gt;"",N6&lt;&gt;"",O6&lt;&gt;"",E6&lt;&gt;"",F6&lt;&gt;"",G6&lt;&gt;"",H6&lt;&gt;""),VLOOKUP(M6,'1-專案資訊'!A25:I33,4,0)*(2*((E6+F6)/1000-0.08)+2*VLOOKUP(M6,'1-專案資訊'!A25:I33,9,0)/100)*((G6*0.4/N6)+(G6*0.6/O6)+2)*H6,0)</f>
        <v/>
      </c>
      <c r="U6" s="75">
        <f>IF(AND(E6&lt;&gt;"",F6&lt;&gt;"",G6&lt;&gt;"",H6&lt;&gt;""),(2*F6+E6)*G6/1000000*H6,0)</f>
        <v/>
      </c>
      <c r="V6" s="75">
        <f>IF(AND(I6&lt;&gt;"",J6&lt;&gt;"",G6&lt;&gt;"",H6&lt;&gt;""),(ROUNDUP((G6/1000+2*VLOOKUP(I6,'1-專案資訊'!A25:I33,8,0)/100)/$B$3,0)-1)*(J6+L6)*H6,0)</f>
        <v/>
      </c>
      <c r="W6" s="75">
        <f>IF(AND(V6&gt;0,I6&lt;&gt;""),V6*VLOOKUP(I6,'1-專案資訊'!A25:I33,8,0)/100,0)</f>
        <v/>
      </c>
      <c r="X6" s="75">
        <f>IF(OR(I6="#3 (D10)",I6="#4 (D13)",I6="#5 (D16)"),R6,0)+IF(OR(K6="#3 (D10)",K6="#4 (D13)",K6="#5 (D16)"),S6,0)+IF(OR(M6="#3 (D10)",M6="#4 (D13)",M6="#5 (D16)"),T6,0)</f>
        <v/>
      </c>
      <c r="Y6" s="75">
        <f>IF(AND(I6&lt;&gt;"",I6&lt;&gt;"#3 (D10)",I6&lt;&gt;"#4 (D13)",I6&lt;&gt;"#5 (D16)"),R6,0)+IF(AND(K6&lt;&gt;"",K6&lt;&gt;"#3 (D10)",K6&lt;&gt;"#4 (D13)",K6&lt;&gt;"#5 (D16)"),S6,0)+IF(AND(M6&lt;&gt;"",M6&lt;&gt;"#3 (D10)",M6&lt;&gt;"#4 (D13)",M6&lt;&gt;"#5 (D16)"),T6,0)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 t="n"/>
      <c r="H7" s="70" t="n"/>
      <c r="I7" s="74" t="n"/>
      <c r="J7" s="70" t="n"/>
      <c r="K7" s="74" t="n"/>
      <c r="L7" s="70" t="n"/>
      <c r="M7" s="74" t="n"/>
      <c r="N7" s="70" t="n"/>
      <c r="O7" s="70" t="n"/>
      <c r="P7" s="70" t="n"/>
      <c r="Q7" s="75">
        <f>IF(AND(E7&lt;&gt;"",F7&lt;&gt;"",G7&lt;&gt;"",H7&lt;&gt;""),E7*F7*G7/1000000000*H7,0)</f>
        <v/>
      </c>
      <c r="R7" s="75">
        <f>IF(AND(I7&lt;&gt;"",J7&lt;&gt;"",G7&lt;&gt;"",H7&lt;&gt;""),VLOOKUP(I7,'1-專案資訊'!A25:I33,4,0)*(G7/1000+2*VLOOKUP(I7,'1-專案資訊'!A25:I33,8,0)/100)*J7*H7,0)</f>
        <v/>
      </c>
      <c r="S7" s="75">
        <f>IF(AND(K7&lt;&gt;"",L7&lt;&gt;"",G7&lt;&gt;"",H7&lt;&gt;""),VLOOKUP(K7,'1-專案資訊'!A25:I33,4,0)*(G7/1000+2*VLOOKUP(K7,'1-專案資訊'!A25:I33,8,0)/100)*L7*H7,0)</f>
        <v/>
      </c>
      <c r="T7" s="75">
        <f>IF(AND(M7&lt;&gt;"",N7&lt;&gt;"",O7&lt;&gt;"",E7&lt;&gt;"",F7&lt;&gt;"",G7&lt;&gt;"",H7&lt;&gt;""),VLOOKUP(M7,'1-專案資訊'!A25:I33,4,0)*(2*((E7+F7)/1000-0.08)+2*VLOOKUP(M7,'1-專案資訊'!A25:I33,9,0)/100)*((G7*0.4/N7)+(G7*0.6/O7)+2)*H7,0)</f>
        <v/>
      </c>
      <c r="U7" s="75">
        <f>IF(AND(E7&lt;&gt;"",F7&lt;&gt;"",G7&lt;&gt;"",H7&lt;&gt;""),(2*F7+E7)*G7/1000000*H7,0)</f>
        <v/>
      </c>
      <c r="V7" s="75">
        <f>IF(AND(I7&lt;&gt;"",J7&lt;&gt;"",G7&lt;&gt;"",H7&lt;&gt;""),(ROUNDUP((G7/1000+2*VLOOKUP(I7,'1-專案資訊'!A25:I33,8,0)/100)/$B$3,0)-1)*(J7+L7)*H7,0)</f>
        <v/>
      </c>
      <c r="W7" s="75">
        <f>IF(AND(V7&gt;0,I7&lt;&gt;""),V7*VLOOKUP(I7,'1-專案資訊'!A25:I33,8,0)/100,0)</f>
        <v/>
      </c>
      <c r="X7" s="75">
        <f>IF(OR(I7="#3 (D10)",I7="#4 (D13)",I7="#5 (D16)"),R7,0)+IF(OR(K7="#3 (D10)",K7="#4 (D13)",K7="#5 (D16)"),S7,0)+IF(OR(M7="#3 (D10)",M7="#4 (D13)",M7="#5 (D16)"),T7,0)</f>
        <v/>
      </c>
      <c r="Y7" s="75">
        <f>IF(AND(I7&lt;&gt;"",I7&lt;&gt;"#3 (D10)",I7&lt;&gt;"#4 (D13)",I7&lt;&gt;"#5 (D16)"),R7,0)+IF(AND(K7&lt;&gt;"",K7&lt;&gt;"#3 (D10)",K7&lt;&gt;"#4 (D13)",K7&lt;&gt;"#5 (D16)"),S7,0)+IF(AND(M7&lt;&gt;"",M7&lt;&gt;"#3 (D10)",M7&lt;&gt;"#4 (D13)",M7&lt;&gt;"#5 (D16)"),T7,0)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 t="n"/>
      <c r="H8" s="70" t="n"/>
      <c r="I8" s="74" t="n"/>
      <c r="J8" s="70" t="n"/>
      <c r="K8" s="74" t="n"/>
      <c r="L8" s="70" t="n"/>
      <c r="M8" s="74" t="n"/>
      <c r="N8" s="70" t="n"/>
      <c r="O8" s="70" t="n"/>
      <c r="P8" s="70" t="n"/>
      <c r="Q8" s="75">
        <f>IF(AND(E8&lt;&gt;"",F8&lt;&gt;"",G8&lt;&gt;"",H8&lt;&gt;""),E8*F8*G8/1000000000*H8,0)</f>
        <v/>
      </c>
      <c r="R8" s="75">
        <f>IF(AND(I8&lt;&gt;"",J8&lt;&gt;"",G8&lt;&gt;"",H8&lt;&gt;""),VLOOKUP(I8,'1-專案資訊'!A25:I33,4,0)*(G8/1000+2*VLOOKUP(I8,'1-專案資訊'!A25:I33,8,0)/100)*J8*H8,0)</f>
        <v/>
      </c>
      <c r="S8" s="75">
        <f>IF(AND(K8&lt;&gt;"",L8&lt;&gt;"",G8&lt;&gt;"",H8&lt;&gt;""),VLOOKUP(K8,'1-專案資訊'!A25:I33,4,0)*(G8/1000+2*VLOOKUP(K8,'1-專案資訊'!A25:I33,8,0)/100)*L8*H8,0)</f>
        <v/>
      </c>
      <c r="T8" s="75">
        <f>IF(AND(M8&lt;&gt;"",N8&lt;&gt;"",O8&lt;&gt;"",E8&lt;&gt;"",F8&lt;&gt;"",G8&lt;&gt;"",H8&lt;&gt;""),VLOOKUP(M8,'1-專案資訊'!A25:I33,4,0)*(2*((E8+F8)/1000-0.08)+2*VLOOKUP(M8,'1-專案資訊'!A25:I33,9,0)/100)*((G8*0.4/N8)+(G8*0.6/O8)+2)*H8,0)</f>
        <v/>
      </c>
      <c r="U8" s="75">
        <f>IF(AND(E8&lt;&gt;"",F8&lt;&gt;"",G8&lt;&gt;"",H8&lt;&gt;""),(2*F8+E8)*G8/1000000*H8,0)</f>
        <v/>
      </c>
      <c r="V8" s="75">
        <f>IF(AND(I8&lt;&gt;"",J8&lt;&gt;"",G8&lt;&gt;"",H8&lt;&gt;""),(ROUNDUP((G8/1000+2*VLOOKUP(I8,'1-專案資訊'!A25:I33,8,0)/100)/$B$3,0)-1)*(J8+L8)*H8,0)</f>
        <v/>
      </c>
      <c r="W8" s="75">
        <f>IF(AND(V8&gt;0,I8&lt;&gt;""),V8*VLOOKUP(I8,'1-專案資訊'!A25:I33,8,0)/100,0)</f>
        <v/>
      </c>
      <c r="X8" s="75">
        <f>IF(OR(I8="#3 (D10)",I8="#4 (D13)",I8="#5 (D16)"),R8,0)+IF(OR(K8="#3 (D10)",K8="#4 (D13)",K8="#5 (D16)"),S8,0)+IF(OR(M8="#3 (D10)",M8="#4 (D13)",M8="#5 (D16)"),T8,0)</f>
        <v/>
      </c>
      <c r="Y8" s="75">
        <f>IF(AND(I8&lt;&gt;"",I8&lt;&gt;"#3 (D10)",I8&lt;&gt;"#4 (D13)",I8&lt;&gt;"#5 (D16)"),R8,0)+IF(AND(K8&lt;&gt;"",K8&lt;&gt;"#3 (D10)",K8&lt;&gt;"#4 (D13)",K8&lt;&gt;"#5 (D16)"),S8,0)+IF(AND(M8&lt;&gt;"",M8&lt;&gt;"#3 (D10)",M8&lt;&gt;"#4 (D13)",M8&lt;&gt;"#5 (D16)"),T8,0)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 t="n"/>
      <c r="H9" s="70" t="n"/>
      <c r="I9" s="74" t="n"/>
      <c r="J9" s="70" t="n"/>
      <c r="K9" s="74" t="n"/>
      <c r="L9" s="70" t="n"/>
      <c r="M9" s="74" t="n"/>
      <c r="N9" s="70" t="n"/>
      <c r="O9" s="70" t="n"/>
      <c r="P9" s="70" t="n"/>
      <c r="Q9" s="75">
        <f>IF(AND(E9&lt;&gt;"",F9&lt;&gt;"",G9&lt;&gt;"",H9&lt;&gt;""),E9*F9*G9/1000000000*H9,0)</f>
        <v/>
      </c>
      <c r="R9" s="75">
        <f>IF(AND(I9&lt;&gt;"",J9&lt;&gt;"",G9&lt;&gt;"",H9&lt;&gt;""),VLOOKUP(I9,'1-專案資訊'!A25:I33,4,0)*(G9/1000+2*VLOOKUP(I9,'1-專案資訊'!A25:I33,8,0)/100)*J9*H9,0)</f>
        <v/>
      </c>
      <c r="S9" s="75">
        <f>IF(AND(K9&lt;&gt;"",L9&lt;&gt;"",G9&lt;&gt;"",H9&lt;&gt;""),VLOOKUP(K9,'1-專案資訊'!A25:I33,4,0)*(G9/1000+2*VLOOKUP(K9,'1-專案資訊'!A25:I33,8,0)/100)*L9*H9,0)</f>
        <v/>
      </c>
      <c r="T9" s="75">
        <f>IF(AND(M9&lt;&gt;"",N9&lt;&gt;"",O9&lt;&gt;"",E9&lt;&gt;"",F9&lt;&gt;"",G9&lt;&gt;"",H9&lt;&gt;""),VLOOKUP(M9,'1-專案資訊'!A25:I33,4,0)*(2*((E9+F9)/1000-0.08)+2*VLOOKUP(M9,'1-專案資訊'!A25:I33,9,0)/100)*((G9*0.4/N9)+(G9*0.6/O9)+2)*H9,0)</f>
        <v/>
      </c>
      <c r="U9" s="75">
        <f>IF(AND(E9&lt;&gt;"",F9&lt;&gt;"",G9&lt;&gt;"",H9&lt;&gt;""),(2*F9+E9)*G9/1000000*H9,0)</f>
        <v/>
      </c>
      <c r="V9" s="75">
        <f>IF(AND(I9&lt;&gt;"",J9&lt;&gt;"",G9&lt;&gt;"",H9&lt;&gt;""),(ROUNDUP((G9/1000+2*VLOOKUP(I9,'1-專案資訊'!A25:I33,8,0)/100)/$B$3,0)-1)*(J9+L9)*H9,0)</f>
        <v/>
      </c>
      <c r="W9" s="75">
        <f>IF(AND(V9&gt;0,I9&lt;&gt;""),V9*VLOOKUP(I9,'1-專案資訊'!A25:I33,8,0)/100,0)</f>
        <v/>
      </c>
      <c r="X9" s="75">
        <f>IF(OR(I9="#3 (D10)",I9="#4 (D13)",I9="#5 (D16)"),R9,0)+IF(OR(K9="#3 (D10)",K9="#4 (D13)",K9="#5 (D16)"),S9,0)+IF(OR(M9="#3 (D10)",M9="#4 (D13)",M9="#5 (D16)"),T9,0)</f>
        <v/>
      </c>
      <c r="Y9" s="75">
        <f>IF(AND(I9&lt;&gt;"",I9&lt;&gt;"#3 (D10)",I9&lt;&gt;"#4 (D13)",I9&lt;&gt;"#5 (D16)"),R9,0)+IF(AND(K9&lt;&gt;"",K9&lt;&gt;"#3 (D10)",K9&lt;&gt;"#4 (D13)",K9&lt;&gt;"#5 (D16)"),S9,0)+IF(AND(M9&lt;&gt;"",M9&lt;&gt;"#3 (D10)",M9&lt;&gt;"#4 (D13)",M9&lt;&gt;"#5 (D16)"),T9,0)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 t="n"/>
      <c r="H10" s="70" t="n"/>
      <c r="I10" s="74" t="n"/>
      <c r="J10" s="70" t="n"/>
      <c r="K10" s="74" t="n"/>
      <c r="L10" s="70" t="n"/>
      <c r="M10" s="74" t="n"/>
      <c r="N10" s="70" t="n"/>
      <c r="O10" s="70" t="n"/>
      <c r="P10" s="70" t="n"/>
      <c r="Q10" s="75">
        <f>IF(AND(E10&lt;&gt;"",F10&lt;&gt;"",G10&lt;&gt;"",H10&lt;&gt;""),E10*F10*G10/1000000000*H10,0)</f>
        <v/>
      </c>
      <c r="R10" s="75">
        <f>IF(AND(I10&lt;&gt;"",J10&lt;&gt;"",G10&lt;&gt;"",H10&lt;&gt;""),VLOOKUP(I10,'1-專案資訊'!A25:I33,4,0)*(G10/1000+2*VLOOKUP(I10,'1-專案資訊'!A25:I33,8,0)/100)*J10*H10,0)</f>
        <v/>
      </c>
      <c r="S10" s="75">
        <f>IF(AND(K10&lt;&gt;"",L10&lt;&gt;"",G10&lt;&gt;"",H10&lt;&gt;""),VLOOKUP(K10,'1-專案資訊'!A25:I33,4,0)*(G10/1000+2*VLOOKUP(K10,'1-專案資訊'!A25:I33,8,0)/100)*L10*H10,0)</f>
        <v/>
      </c>
      <c r="T10" s="75">
        <f>IF(AND(M10&lt;&gt;"",N10&lt;&gt;"",O10&lt;&gt;"",E10&lt;&gt;"",F10&lt;&gt;"",G10&lt;&gt;"",H10&lt;&gt;""),VLOOKUP(M10,'1-專案資訊'!A25:I33,4,0)*(2*((E10+F10)/1000-0.08)+2*VLOOKUP(M10,'1-專案資訊'!A25:I33,9,0)/100)*((G10*0.4/N10)+(G10*0.6/O10)+2)*H10,0)</f>
        <v/>
      </c>
      <c r="U10" s="75">
        <f>IF(AND(E10&lt;&gt;"",F10&lt;&gt;"",G10&lt;&gt;"",H10&lt;&gt;""),(2*F10+E10)*G10/1000000*H10,0)</f>
        <v/>
      </c>
      <c r="V10" s="75">
        <f>IF(AND(I10&lt;&gt;"",J10&lt;&gt;"",G10&lt;&gt;"",H10&lt;&gt;""),(ROUNDUP((G10/1000+2*VLOOKUP(I10,'1-專案資訊'!A25:I33,8,0)/100)/$B$3,0)-1)*(J10+L10)*H10,0)</f>
        <v/>
      </c>
      <c r="W10" s="75">
        <f>IF(AND(V10&gt;0,I10&lt;&gt;""),V10*VLOOKUP(I10,'1-專案資訊'!A25:I33,8,0)/100,0)</f>
        <v/>
      </c>
      <c r="X10" s="75">
        <f>IF(OR(I10="#3 (D10)",I10="#4 (D13)",I10="#5 (D16)"),R10,0)+IF(OR(K10="#3 (D10)",K10="#4 (D13)",K10="#5 (D16)"),S10,0)+IF(OR(M10="#3 (D10)",M10="#4 (D13)",M10="#5 (D16)"),T10,0)</f>
        <v/>
      </c>
      <c r="Y10" s="75">
        <f>IF(AND(I10&lt;&gt;"",I10&lt;&gt;"#3 (D10)",I10&lt;&gt;"#4 (D13)",I10&lt;&gt;"#5 (D16)"),R10,0)+IF(AND(K10&lt;&gt;"",K10&lt;&gt;"#3 (D10)",K10&lt;&gt;"#4 (D13)",K10&lt;&gt;"#5 (D16)"),S10,0)+IF(AND(M10&lt;&gt;"",M10&lt;&gt;"#3 (D10)",M10&lt;&gt;"#4 (D13)",M10&lt;&gt;"#5 (D16)"),T10,0)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 t="n"/>
      <c r="H11" s="70" t="n"/>
      <c r="I11" s="74" t="n"/>
      <c r="J11" s="70" t="n"/>
      <c r="K11" s="74" t="n"/>
      <c r="L11" s="70" t="n"/>
      <c r="M11" s="74" t="n"/>
      <c r="N11" s="70" t="n"/>
      <c r="O11" s="70" t="n"/>
      <c r="P11" s="70" t="n"/>
      <c r="Q11" s="75">
        <f>IF(AND(E11&lt;&gt;"",F11&lt;&gt;"",G11&lt;&gt;"",H11&lt;&gt;""),E11*F11*G11/1000000000*H11,0)</f>
        <v/>
      </c>
      <c r="R11" s="75">
        <f>IF(AND(I11&lt;&gt;"",J11&lt;&gt;"",G11&lt;&gt;"",H11&lt;&gt;""),VLOOKUP(I11,'1-專案資訊'!A25:I33,4,0)*(G11/1000+2*VLOOKUP(I11,'1-專案資訊'!A25:I33,8,0)/100)*J11*H11,0)</f>
        <v/>
      </c>
      <c r="S11" s="75">
        <f>IF(AND(K11&lt;&gt;"",L11&lt;&gt;"",G11&lt;&gt;"",H11&lt;&gt;""),VLOOKUP(K11,'1-專案資訊'!A25:I33,4,0)*(G11/1000+2*VLOOKUP(K11,'1-專案資訊'!A25:I33,8,0)/100)*L11*H11,0)</f>
        <v/>
      </c>
      <c r="T11" s="75">
        <f>IF(AND(M11&lt;&gt;"",N11&lt;&gt;"",O11&lt;&gt;"",E11&lt;&gt;"",F11&lt;&gt;"",G11&lt;&gt;"",H11&lt;&gt;""),VLOOKUP(M11,'1-專案資訊'!A25:I33,4,0)*(2*((E11+F11)/1000-0.08)+2*VLOOKUP(M11,'1-專案資訊'!A25:I33,9,0)/100)*((G11*0.4/N11)+(G11*0.6/O11)+2)*H11,0)</f>
        <v/>
      </c>
      <c r="U11" s="75">
        <f>IF(AND(E11&lt;&gt;"",F11&lt;&gt;"",G11&lt;&gt;"",H11&lt;&gt;""),(2*F11+E11)*G11/1000000*H11,0)</f>
        <v/>
      </c>
      <c r="V11" s="75">
        <f>IF(AND(I11&lt;&gt;"",J11&lt;&gt;"",G11&lt;&gt;"",H11&lt;&gt;""),(ROUNDUP((G11/1000+2*VLOOKUP(I11,'1-專案資訊'!A25:I33,8,0)/100)/$B$3,0)-1)*(J11+L11)*H11,0)</f>
        <v/>
      </c>
      <c r="W11" s="75">
        <f>IF(AND(V11&gt;0,I11&lt;&gt;""),V11*VLOOKUP(I11,'1-專案資訊'!A25:I33,8,0)/100,0)</f>
        <v/>
      </c>
      <c r="X11" s="75">
        <f>IF(OR(I11="#3 (D10)",I11="#4 (D13)",I11="#5 (D16)"),R11,0)+IF(OR(K11="#3 (D10)",K11="#4 (D13)",K11="#5 (D16)"),S11,0)+IF(OR(M11="#3 (D10)",M11="#4 (D13)",M11="#5 (D16)"),T11,0)</f>
        <v/>
      </c>
      <c r="Y11" s="75">
        <f>IF(AND(I11&lt;&gt;"",I11&lt;&gt;"#3 (D10)",I11&lt;&gt;"#4 (D13)",I11&lt;&gt;"#5 (D16)"),R11,0)+IF(AND(K11&lt;&gt;"",K11&lt;&gt;"#3 (D10)",K11&lt;&gt;"#4 (D13)",K11&lt;&gt;"#5 (D16)"),S11,0)+IF(AND(M11&lt;&gt;"",M11&lt;&gt;"#3 (D10)",M11&lt;&gt;"#4 (D13)",M11&lt;&gt;"#5 (D16)"),T11,0)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 t="n"/>
      <c r="H12" s="70" t="n"/>
      <c r="I12" s="74" t="n"/>
      <c r="J12" s="70" t="n"/>
      <c r="K12" s="74" t="n"/>
      <c r="L12" s="70" t="n"/>
      <c r="M12" s="74" t="n"/>
      <c r="N12" s="70" t="n"/>
      <c r="O12" s="70" t="n"/>
      <c r="P12" s="70" t="n"/>
      <c r="Q12" s="75">
        <f>IF(AND(E12&lt;&gt;"",F12&lt;&gt;"",G12&lt;&gt;"",H12&lt;&gt;""),E12*F12*G12/1000000000*H12,0)</f>
        <v/>
      </c>
      <c r="R12" s="75">
        <f>IF(AND(I12&lt;&gt;"",J12&lt;&gt;"",G12&lt;&gt;"",H12&lt;&gt;""),VLOOKUP(I12,'1-專案資訊'!A25:I33,4,0)*(G12/1000+2*VLOOKUP(I12,'1-專案資訊'!A25:I33,8,0)/100)*J12*H12,0)</f>
        <v/>
      </c>
      <c r="S12" s="75">
        <f>IF(AND(K12&lt;&gt;"",L12&lt;&gt;"",G12&lt;&gt;"",H12&lt;&gt;""),VLOOKUP(K12,'1-專案資訊'!A25:I33,4,0)*(G12/1000+2*VLOOKUP(K12,'1-專案資訊'!A25:I33,8,0)/100)*L12*H12,0)</f>
        <v/>
      </c>
      <c r="T12" s="75">
        <f>IF(AND(M12&lt;&gt;"",N12&lt;&gt;"",O12&lt;&gt;"",E12&lt;&gt;"",F12&lt;&gt;"",G12&lt;&gt;"",H12&lt;&gt;""),VLOOKUP(M12,'1-專案資訊'!A25:I33,4,0)*(2*((E12+F12)/1000-0.08)+2*VLOOKUP(M12,'1-專案資訊'!A25:I33,9,0)/100)*((G12*0.4/N12)+(G12*0.6/O12)+2)*H12,0)</f>
        <v/>
      </c>
      <c r="U12" s="75">
        <f>IF(AND(E12&lt;&gt;"",F12&lt;&gt;"",G12&lt;&gt;"",H12&lt;&gt;""),(2*F12+E12)*G12/1000000*H12,0)</f>
        <v/>
      </c>
      <c r="V12" s="75">
        <f>IF(AND(I12&lt;&gt;"",J12&lt;&gt;"",G12&lt;&gt;"",H12&lt;&gt;""),(ROUNDUP((G12/1000+2*VLOOKUP(I12,'1-專案資訊'!A25:I33,8,0)/100)/$B$3,0)-1)*(J12+L12)*H12,0)</f>
        <v/>
      </c>
      <c r="W12" s="75">
        <f>IF(AND(V12&gt;0,I12&lt;&gt;""),V12*VLOOKUP(I12,'1-專案資訊'!A25:I33,8,0)/100,0)</f>
        <v/>
      </c>
      <c r="X12" s="75">
        <f>IF(OR(I12="#3 (D10)",I12="#4 (D13)",I12="#5 (D16)"),R12,0)+IF(OR(K12="#3 (D10)",K12="#4 (D13)",K12="#5 (D16)"),S12,0)+IF(OR(M12="#3 (D10)",M12="#4 (D13)",M12="#5 (D16)"),T12,0)</f>
        <v/>
      </c>
      <c r="Y12" s="75">
        <f>IF(AND(I12&lt;&gt;"",I12&lt;&gt;"#3 (D10)",I12&lt;&gt;"#4 (D13)",I12&lt;&gt;"#5 (D16)"),R12,0)+IF(AND(K12&lt;&gt;"",K12&lt;&gt;"#3 (D10)",K12&lt;&gt;"#4 (D13)",K12&lt;&gt;"#5 (D16)"),S12,0)+IF(AND(M12&lt;&gt;"",M12&lt;&gt;"#3 (D10)",M12&lt;&gt;"#4 (D13)",M12&lt;&gt;"#5 (D16)"),T12,0)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 t="n"/>
      <c r="H13" s="70" t="n"/>
      <c r="I13" s="74" t="n"/>
      <c r="J13" s="70" t="n"/>
      <c r="K13" s="74" t="n"/>
      <c r="L13" s="70" t="n"/>
      <c r="M13" s="74" t="n"/>
      <c r="N13" s="70" t="n"/>
      <c r="O13" s="70" t="n"/>
      <c r="P13" s="70" t="n"/>
      <c r="Q13" s="75">
        <f>IF(AND(E13&lt;&gt;"",F13&lt;&gt;"",G13&lt;&gt;"",H13&lt;&gt;""),E13*F13*G13/1000000000*H13,0)</f>
        <v/>
      </c>
      <c r="R13" s="75">
        <f>IF(AND(I13&lt;&gt;"",J13&lt;&gt;"",G13&lt;&gt;"",H13&lt;&gt;""),VLOOKUP(I13,'1-專案資訊'!A25:I33,4,0)*(G13/1000+2*VLOOKUP(I13,'1-專案資訊'!A25:I33,8,0)/100)*J13*H13,0)</f>
        <v/>
      </c>
      <c r="S13" s="75">
        <f>IF(AND(K13&lt;&gt;"",L13&lt;&gt;"",G13&lt;&gt;"",H13&lt;&gt;""),VLOOKUP(K13,'1-專案資訊'!A25:I33,4,0)*(G13/1000+2*VLOOKUP(K13,'1-專案資訊'!A25:I33,8,0)/100)*L13*H13,0)</f>
        <v/>
      </c>
      <c r="T13" s="75">
        <f>IF(AND(M13&lt;&gt;"",N13&lt;&gt;"",O13&lt;&gt;"",E13&lt;&gt;"",F13&lt;&gt;"",G13&lt;&gt;"",H13&lt;&gt;""),VLOOKUP(M13,'1-專案資訊'!A25:I33,4,0)*(2*((E13+F13)/1000-0.08)+2*VLOOKUP(M13,'1-專案資訊'!A25:I33,9,0)/100)*((G13*0.4/N13)+(G13*0.6/O13)+2)*H13,0)</f>
        <v/>
      </c>
      <c r="U13" s="75">
        <f>IF(AND(E13&lt;&gt;"",F13&lt;&gt;"",G13&lt;&gt;"",H13&lt;&gt;""),(2*F13+E13)*G13/1000000*H13,0)</f>
        <v/>
      </c>
      <c r="V13" s="75">
        <f>IF(AND(I13&lt;&gt;"",J13&lt;&gt;"",G13&lt;&gt;"",H13&lt;&gt;""),(ROUNDUP((G13/1000+2*VLOOKUP(I13,'1-專案資訊'!A25:I33,8,0)/100)/$B$3,0)-1)*(J13+L13)*H13,0)</f>
        <v/>
      </c>
      <c r="W13" s="75">
        <f>IF(AND(V13&gt;0,I13&lt;&gt;""),V13*VLOOKUP(I13,'1-專案資訊'!A25:I33,8,0)/100,0)</f>
        <v/>
      </c>
      <c r="X13" s="75">
        <f>IF(OR(I13="#3 (D10)",I13="#4 (D13)",I13="#5 (D16)"),R13,0)+IF(OR(K13="#3 (D10)",K13="#4 (D13)",K13="#5 (D16)"),S13,0)+IF(OR(M13="#3 (D10)",M13="#4 (D13)",M13="#5 (D16)"),T13,0)</f>
        <v/>
      </c>
      <c r="Y13" s="75">
        <f>IF(AND(I13&lt;&gt;"",I13&lt;&gt;"#3 (D10)",I13&lt;&gt;"#4 (D13)",I13&lt;&gt;"#5 (D16)"),R13,0)+IF(AND(K13&lt;&gt;"",K13&lt;&gt;"#3 (D10)",K13&lt;&gt;"#4 (D13)",K13&lt;&gt;"#5 (D16)"),S13,0)+IF(AND(M13&lt;&gt;"",M13&lt;&gt;"#3 (D10)",M13&lt;&gt;"#4 (D13)",M13&lt;&gt;"#5 (D16)"),T13,0)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 t="n"/>
      <c r="H14" s="70" t="n"/>
      <c r="I14" s="74" t="n"/>
      <c r="J14" s="70" t="n"/>
      <c r="K14" s="74" t="n"/>
      <c r="L14" s="70" t="n"/>
      <c r="M14" s="74" t="n"/>
      <c r="N14" s="70" t="n"/>
      <c r="O14" s="70" t="n"/>
      <c r="P14" s="70" t="n"/>
      <c r="Q14" s="75">
        <f>IF(AND(E14&lt;&gt;"",F14&lt;&gt;"",G14&lt;&gt;"",H14&lt;&gt;""),E14*F14*G14/1000000000*H14,0)</f>
        <v/>
      </c>
      <c r="R14" s="75">
        <f>IF(AND(I14&lt;&gt;"",J14&lt;&gt;"",G14&lt;&gt;"",H14&lt;&gt;""),VLOOKUP(I14,'1-專案資訊'!A25:I33,4,0)*(G14/1000+2*VLOOKUP(I14,'1-專案資訊'!A25:I33,8,0)/100)*J14*H14,0)</f>
        <v/>
      </c>
      <c r="S14" s="75">
        <f>IF(AND(K14&lt;&gt;"",L14&lt;&gt;"",G14&lt;&gt;"",H14&lt;&gt;""),VLOOKUP(K14,'1-專案資訊'!A25:I33,4,0)*(G14/1000+2*VLOOKUP(K14,'1-專案資訊'!A25:I33,8,0)/100)*L14*H14,0)</f>
        <v/>
      </c>
      <c r="T14" s="75">
        <f>IF(AND(M14&lt;&gt;"",N14&lt;&gt;"",O14&lt;&gt;"",E14&lt;&gt;"",F14&lt;&gt;"",G14&lt;&gt;"",H14&lt;&gt;""),VLOOKUP(M14,'1-專案資訊'!A25:I33,4,0)*(2*((E14+F14)/1000-0.08)+2*VLOOKUP(M14,'1-專案資訊'!A25:I33,9,0)/100)*((G14*0.4/N14)+(G14*0.6/O14)+2)*H14,0)</f>
        <v/>
      </c>
      <c r="U14" s="75">
        <f>IF(AND(E14&lt;&gt;"",F14&lt;&gt;"",G14&lt;&gt;"",H14&lt;&gt;""),(2*F14+E14)*G14/1000000*H14,0)</f>
        <v/>
      </c>
      <c r="V14" s="75">
        <f>IF(AND(I14&lt;&gt;"",J14&lt;&gt;"",G14&lt;&gt;"",H14&lt;&gt;""),(ROUNDUP((G14/1000+2*VLOOKUP(I14,'1-專案資訊'!A25:I33,8,0)/100)/$B$3,0)-1)*(J14+L14)*H14,0)</f>
        <v/>
      </c>
      <c r="W14" s="75">
        <f>IF(AND(V14&gt;0,I14&lt;&gt;""),V14*VLOOKUP(I14,'1-專案資訊'!A25:I33,8,0)/100,0)</f>
        <v/>
      </c>
      <c r="X14" s="75">
        <f>IF(OR(I14="#3 (D10)",I14="#4 (D13)",I14="#5 (D16)"),R14,0)+IF(OR(K14="#3 (D10)",K14="#4 (D13)",K14="#5 (D16)"),S14,0)+IF(OR(M14="#3 (D10)",M14="#4 (D13)",M14="#5 (D16)"),T14,0)</f>
        <v/>
      </c>
      <c r="Y14" s="75">
        <f>IF(AND(I14&lt;&gt;"",I14&lt;&gt;"#3 (D10)",I14&lt;&gt;"#4 (D13)",I14&lt;&gt;"#5 (D16)"),R14,0)+IF(AND(K14&lt;&gt;"",K14&lt;&gt;"#3 (D10)",K14&lt;&gt;"#4 (D13)",K14&lt;&gt;"#5 (D16)"),S14,0)+IF(AND(M14&lt;&gt;"",M14&lt;&gt;"#3 (D10)",M14&lt;&gt;"#4 (D13)",M14&lt;&gt;"#5 (D16)"),T14,0)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 t="n"/>
      <c r="H15" s="70" t="n"/>
      <c r="I15" s="74" t="n"/>
      <c r="J15" s="70" t="n"/>
      <c r="K15" s="74" t="n"/>
      <c r="L15" s="70" t="n"/>
      <c r="M15" s="74" t="n"/>
      <c r="N15" s="70" t="n"/>
      <c r="O15" s="70" t="n"/>
      <c r="P15" s="70" t="n"/>
      <c r="Q15" s="75">
        <f>IF(AND(E15&lt;&gt;"",F15&lt;&gt;"",G15&lt;&gt;"",H15&lt;&gt;""),E15*F15*G15/1000000000*H15,0)</f>
        <v/>
      </c>
      <c r="R15" s="75">
        <f>IF(AND(I15&lt;&gt;"",J15&lt;&gt;"",G15&lt;&gt;"",H15&lt;&gt;""),VLOOKUP(I15,'1-專案資訊'!A25:I33,4,0)*(G15/1000+2*VLOOKUP(I15,'1-專案資訊'!A25:I33,8,0)/100)*J15*H15,0)</f>
        <v/>
      </c>
      <c r="S15" s="75">
        <f>IF(AND(K15&lt;&gt;"",L15&lt;&gt;"",G15&lt;&gt;"",H15&lt;&gt;""),VLOOKUP(K15,'1-專案資訊'!A25:I33,4,0)*(G15/1000+2*VLOOKUP(K15,'1-專案資訊'!A25:I33,8,0)/100)*L15*H15,0)</f>
        <v/>
      </c>
      <c r="T15" s="75">
        <f>IF(AND(M15&lt;&gt;"",N15&lt;&gt;"",O15&lt;&gt;"",E15&lt;&gt;"",F15&lt;&gt;"",G15&lt;&gt;"",H15&lt;&gt;""),VLOOKUP(M15,'1-專案資訊'!A25:I33,4,0)*(2*((E15+F15)/1000-0.08)+2*VLOOKUP(M15,'1-專案資訊'!A25:I33,9,0)/100)*((G15*0.4/N15)+(G15*0.6/O15)+2)*H15,0)</f>
        <v/>
      </c>
      <c r="U15" s="75">
        <f>IF(AND(E15&lt;&gt;"",F15&lt;&gt;"",G15&lt;&gt;"",H15&lt;&gt;""),(2*F15+E15)*G15/1000000*H15,0)</f>
        <v/>
      </c>
      <c r="V15" s="75">
        <f>IF(AND(I15&lt;&gt;"",J15&lt;&gt;"",G15&lt;&gt;"",H15&lt;&gt;""),(ROUNDUP((G15/1000+2*VLOOKUP(I15,'1-專案資訊'!A25:I33,8,0)/100)/$B$3,0)-1)*(J15+L15)*H15,0)</f>
        <v/>
      </c>
      <c r="W15" s="75">
        <f>IF(AND(V15&gt;0,I15&lt;&gt;""),V15*VLOOKUP(I15,'1-專案資訊'!A25:I33,8,0)/100,0)</f>
        <v/>
      </c>
      <c r="X15" s="75">
        <f>IF(OR(I15="#3 (D10)",I15="#4 (D13)",I15="#5 (D16)"),R15,0)+IF(OR(K15="#3 (D10)",K15="#4 (D13)",K15="#5 (D16)"),S15,0)+IF(OR(M15="#3 (D10)",M15="#4 (D13)",M15="#5 (D16)"),T15,0)</f>
        <v/>
      </c>
      <c r="Y15" s="75">
        <f>IF(AND(I15&lt;&gt;"",I15&lt;&gt;"#3 (D10)",I15&lt;&gt;"#4 (D13)",I15&lt;&gt;"#5 (D16)"),R15,0)+IF(AND(K15&lt;&gt;"",K15&lt;&gt;"#3 (D10)",K15&lt;&gt;"#4 (D13)",K15&lt;&gt;"#5 (D16)"),S15,0)+IF(AND(M15&lt;&gt;"",M15&lt;&gt;"#3 (D10)",M15&lt;&gt;"#4 (D13)",M15&lt;&gt;"#5 (D16)"),T15,0)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 t="n"/>
      <c r="H16" s="70" t="n"/>
      <c r="I16" s="74" t="n"/>
      <c r="J16" s="70" t="n"/>
      <c r="K16" s="74" t="n"/>
      <c r="L16" s="70" t="n"/>
      <c r="M16" s="74" t="n"/>
      <c r="N16" s="70" t="n"/>
      <c r="O16" s="70" t="n"/>
      <c r="P16" s="70" t="n"/>
      <c r="Q16" s="75">
        <f>IF(AND(E16&lt;&gt;"",F16&lt;&gt;"",G16&lt;&gt;"",H16&lt;&gt;""),E16*F16*G16/1000000000*H16,0)</f>
        <v/>
      </c>
      <c r="R16" s="75">
        <f>IF(AND(I16&lt;&gt;"",J16&lt;&gt;"",G16&lt;&gt;"",H16&lt;&gt;""),VLOOKUP(I16,'1-專案資訊'!A25:I33,4,0)*(G16/1000+2*VLOOKUP(I16,'1-專案資訊'!A25:I33,8,0)/100)*J16*H16,0)</f>
        <v/>
      </c>
      <c r="S16" s="75">
        <f>IF(AND(K16&lt;&gt;"",L16&lt;&gt;"",G16&lt;&gt;"",H16&lt;&gt;""),VLOOKUP(K16,'1-專案資訊'!A25:I33,4,0)*(G16/1000+2*VLOOKUP(K16,'1-專案資訊'!A25:I33,8,0)/100)*L16*H16,0)</f>
        <v/>
      </c>
      <c r="T16" s="75">
        <f>IF(AND(M16&lt;&gt;"",N16&lt;&gt;"",O16&lt;&gt;"",E16&lt;&gt;"",F16&lt;&gt;"",G16&lt;&gt;"",H16&lt;&gt;""),VLOOKUP(M16,'1-專案資訊'!A25:I33,4,0)*(2*((E16+F16)/1000-0.08)+2*VLOOKUP(M16,'1-專案資訊'!A25:I33,9,0)/100)*((G16*0.4/N16)+(G16*0.6/O16)+2)*H16,0)</f>
        <v/>
      </c>
      <c r="U16" s="75">
        <f>IF(AND(E16&lt;&gt;"",F16&lt;&gt;"",G16&lt;&gt;"",H16&lt;&gt;""),(2*F16+E16)*G16/1000000*H16,0)</f>
        <v/>
      </c>
      <c r="V16" s="75">
        <f>IF(AND(I16&lt;&gt;"",J16&lt;&gt;"",G16&lt;&gt;"",H16&lt;&gt;""),(ROUNDUP((G16/1000+2*VLOOKUP(I16,'1-專案資訊'!A25:I33,8,0)/100)/$B$3,0)-1)*(J16+L16)*H16,0)</f>
        <v/>
      </c>
      <c r="W16" s="75">
        <f>IF(AND(V16&gt;0,I16&lt;&gt;""),V16*VLOOKUP(I16,'1-專案資訊'!A25:I33,8,0)/100,0)</f>
        <v/>
      </c>
      <c r="X16" s="75">
        <f>IF(OR(I16="#3 (D10)",I16="#4 (D13)",I16="#5 (D16)"),R16,0)+IF(OR(K16="#3 (D10)",K16="#4 (D13)",K16="#5 (D16)"),S16,0)+IF(OR(M16="#3 (D10)",M16="#4 (D13)",M16="#5 (D16)"),T16,0)</f>
        <v/>
      </c>
      <c r="Y16" s="75">
        <f>IF(AND(I16&lt;&gt;"",I16&lt;&gt;"#3 (D10)",I16&lt;&gt;"#4 (D13)",I16&lt;&gt;"#5 (D16)"),R16,0)+IF(AND(K16&lt;&gt;"",K16&lt;&gt;"#3 (D10)",K16&lt;&gt;"#4 (D13)",K16&lt;&gt;"#5 (D16)"),S16,0)+IF(AND(M16&lt;&gt;"",M16&lt;&gt;"#3 (D10)",M16&lt;&gt;"#4 (D13)",M16&lt;&gt;"#5 (D16)"),T16,0)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 t="n"/>
      <c r="H17" s="70" t="n"/>
      <c r="I17" s="74" t="n"/>
      <c r="J17" s="70" t="n"/>
      <c r="K17" s="74" t="n"/>
      <c r="L17" s="70" t="n"/>
      <c r="M17" s="74" t="n"/>
      <c r="N17" s="70" t="n"/>
      <c r="O17" s="70" t="n"/>
      <c r="P17" s="70" t="n"/>
      <c r="Q17" s="75">
        <f>IF(AND(E17&lt;&gt;"",F17&lt;&gt;"",G17&lt;&gt;"",H17&lt;&gt;""),E17*F17*G17/1000000000*H17,0)</f>
        <v/>
      </c>
      <c r="R17" s="75">
        <f>IF(AND(I17&lt;&gt;"",J17&lt;&gt;"",G17&lt;&gt;"",H17&lt;&gt;""),VLOOKUP(I17,'1-專案資訊'!A25:I33,4,0)*(G17/1000+2*VLOOKUP(I17,'1-專案資訊'!A25:I33,8,0)/100)*J17*H17,0)</f>
        <v/>
      </c>
      <c r="S17" s="75">
        <f>IF(AND(K17&lt;&gt;"",L17&lt;&gt;"",G17&lt;&gt;"",H17&lt;&gt;""),VLOOKUP(K17,'1-專案資訊'!A25:I33,4,0)*(G17/1000+2*VLOOKUP(K17,'1-專案資訊'!A25:I33,8,0)/100)*L17*H17,0)</f>
        <v/>
      </c>
      <c r="T17" s="75">
        <f>IF(AND(M17&lt;&gt;"",N17&lt;&gt;"",O17&lt;&gt;"",E17&lt;&gt;"",F17&lt;&gt;"",G17&lt;&gt;"",H17&lt;&gt;""),VLOOKUP(M17,'1-專案資訊'!A25:I33,4,0)*(2*((E17+F17)/1000-0.08)+2*VLOOKUP(M17,'1-專案資訊'!A25:I33,9,0)/100)*((G17*0.4/N17)+(G17*0.6/O17)+2)*H17,0)</f>
        <v/>
      </c>
      <c r="U17" s="75">
        <f>IF(AND(E17&lt;&gt;"",F17&lt;&gt;"",G17&lt;&gt;"",H17&lt;&gt;""),(2*F17+E17)*G17/1000000*H17,0)</f>
        <v/>
      </c>
      <c r="V17" s="75">
        <f>IF(AND(I17&lt;&gt;"",J17&lt;&gt;"",G17&lt;&gt;"",H17&lt;&gt;""),(ROUNDUP((G17/1000+2*VLOOKUP(I17,'1-專案資訊'!A25:I33,8,0)/100)/$B$3,0)-1)*(J17+L17)*H17,0)</f>
        <v/>
      </c>
      <c r="W17" s="75">
        <f>IF(AND(V17&gt;0,I17&lt;&gt;""),V17*VLOOKUP(I17,'1-專案資訊'!A25:I33,8,0)/100,0)</f>
        <v/>
      </c>
      <c r="X17" s="75">
        <f>IF(OR(I17="#3 (D10)",I17="#4 (D13)",I17="#5 (D16)"),R17,0)+IF(OR(K17="#3 (D10)",K17="#4 (D13)",K17="#5 (D16)"),S17,0)+IF(OR(M17="#3 (D10)",M17="#4 (D13)",M17="#5 (D16)"),T17,0)</f>
        <v/>
      </c>
      <c r="Y17" s="75">
        <f>IF(AND(I17&lt;&gt;"",I17&lt;&gt;"#3 (D10)",I17&lt;&gt;"#4 (D13)",I17&lt;&gt;"#5 (D16)"),R17,0)+IF(AND(K17&lt;&gt;"",K17&lt;&gt;"#3 (D10)",K17&lt;&gt;"#4 (D13)",K17&lt;&gt;"#5 (D16)"),S17,0)+IF(AND(M17&lt;&gt;"",M17&lt;&gt;"#3 (D10)",M17&lt;&gt;"#4 (D13)",M17&lt;&gt;"#5 (D16)"),T17,0)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 t="n"/>
      <c r="H18" s="70" t="n"/>
      <c r="I18" s="74" t="n"/>
      <c r="J18" s="70" t="n"/>
      <c r="K18" s="74" t="n"/>
      <c r="L18" s="70" t="n"/>
      <c r="M18" s="74" t="n"/>
      <c r="N18" s="70" t="n"/>
      <c r="O18" s="70" t="n"/>
      <c r="P18" s="70" t="n"/>
      <c r="Q18" s="75">
        <f>IF(AND(E18&lt;&gt;"",F18&lt;&gt;"",G18&lt;&gt;"",H18&lt;&gt;""),E18*F18*G18/1000000000*H18,0)</f>
        <v/>
      </c>
      <c r="R18" s="75">
        <f>IF(AND(I18&lt;&gt;"",J18&lt;&gt;"",G18&lt;&gt;"",H18&lt;&gt;""),VLOOKUP(I18,'1-專案資訊'!A25:I33,4,0)*(G18/1000+2*VLOOKUP(I18,'1-專案資訊'!A25:I33,8,0)/100)*J18*H18,0)</f>
        <v/>
      </c>
      <c r="S18" s="75">
        <f>IF(AND(K18&lt;&gt;"",L18&lt;&gt;"",G18&lt;&gt;"",H18&lt;&gt;""),VLOOKUP(K18,'1-專案資訊'!A25:I33,4,0)*(G18/1000+2*VLOOKUP(K18,'1-專案資訊'!A25:I33,8,0)/100)*L18*H18,0)</f>
        <v/>
      </c>
      <c r="T18" s="75">
        <f>IF(AND(M18&lt;&gt;"",N18&lt;&gt;"",O18&lt;&gt;"",E18&lt;&gt;"",F18&lt;&gt;"",G18&lt;&gt;"",H18&lt;&gt;""),VLOOKUP(M18,'1-專案資訊'!A25:I33,4,0)*(2*((E18+F18)/1000-0.08)+2*VLOOKUP(M18,'1-專案資訊'!A25:I33,9,0)/100)*((G18*0.4/N18)+(G18*0.6/O18)+2)*H18,0)</f>
        <v/>
      </c>
      <c r="U18" s="75">
        <f>IF(AND(E18&lt;&gt;"",F18&lt;&gt;"",G18&lt;&gt;"",H18&lt;&gt;""),(2*F18+E18)*G18/1000000*H18,0)</f>
        <v/>
      </c>
      <c r="V18" s="75">
        <f>IF(AND(I18&lt;&gt;"",J18&lt;&gt;"",G18&lt;&gt;"",H18&lt;&gt;""),(ROUNDUP((G18/1000+2*VLOOKUP(I18,'1-專案資訊'!A25:I33,8,0)/100)/$B$3,0)-1)*(J18+L18)*H18,0)</f>
        <v/>
      </c>
      <c r="W18" s="75">
        <f>IF(AND(V18&gt;0,I18&lt;&gt;""),V18*VLOOKUP(I18,'1-專案資訊'!A25:I33,8,0)/100,0)</f>
        <v/>
      </c>
      <c r="X18" s="75">
        <f>IF(OR(I18="#3 (D10)",I18="#4 (D13)",I18="#5 (D16)"),R18,0)+IF(OR(K18="#3 (D10)",K18="#4 (D13)",K18="#5 (D16)"),S18,0)+IF(OR(M18="#3 (D10)",M18="#4 (D13)",M18="#5 (D16)"),T18,0)</f>
        <v/>
      </c>
      <c r="Y18" s="75">
        <f>IF(AND(I18&lt;&gt;"",I18&lt;&gt;"#3 (D10)",I18&lt;&gt;"#4 (D13)",I18&lt;&gt;"#5 (D16)"),R18,0)+IF(AND(K18&lt;&gt;"",K18&lt;&gt;"#3 (D10)",K18&lt;&gt;"#4 (D13)",K18&lt;&gt;"#5 (D16)"),S18,0)+IF(AND(M18&lt;&gt;"",M18&lt;&gt;"#3 (D10)",M18&lt;&gt;"#4 (D13)",M18&lt;&gt;"#5 (D16)"),T18,0)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 t="n"/>
      <c r="H19" s="70" t="n"/>
      <c r="I19" s="74" t="n"/>
      <c r="J19" s="70" t="n"/>
      <c r="K19" s="74" t="n"/>
      <c r="L19" s="70" t="n"/>
      <c r="M19" s="74" t="n"/>
      <c r="N19" s="70" t="n"/>
      <c r="O19" s="70" t="n"/>
      <c r="P19" s="70" t="n"/>
      <c r="Q19" s="75">
        <f>IF(AND(E19&lt;&gt;"",F19&lt;&gt;"",G19&lt;&gt;"",H19&lt;&gt;""),E19*F19*G19/1000000000*H19,0)</f>
        <v/>
      </c>
      <c r="R19" s="75">
        <f>IF(AND(I19&lt;&gt;"",J19&lt;&gt;"",G19&lt;&gt;"",H19&lt;&gt;""),VLOOKUP(I19,'1-專案資訊'!A25:I33,4,0)*(G19/1000+2*VLOOKUP(I19,'1-專案資訊'!A25:I33,8,0)/100)*J19*H19,0)</f>
        <v/>
      </c>
      <c r="S19" s="75">
        <f>IF(AND(K19&lt;&gt;"",L19&lt;&gt;"",G19&lt;&gt;"",H19&lt;&gt;""),VLOOKUP(K19,'1-專案資訊'!A25:I33,4,0)*(G19/1000+2*VLOOKUP(K19,'1-專案資訊'!A25:I33,8,0)/100)*L19*H19,0)</f>
        <v/>
      </c>
      <c r="T19" s="75">
        <f>IF(AND(M19&lt;&gt;"",N19&lt;&gt;"",O19&lt;&gt;"",E19&lt;&gt;"",F19&lt;&gt;"",G19&lt;&gt;"",H19&lt;&gt;""),VLOOKUP(M19,'1-專案資訊'!A25:I33,4,0)*(2*((E19+F19)/1000-0.08)+2*VLOOKUP(M19,'1-專案資訊'!A25:I33,9,0)/100)*((G19*0.4/N19)+(G19*0.6/O19)+2)*H19,0)</f>
        <v/>
      </c>
      <c r="U19" s="75">
        <f>IF(AND(E19&lt;&gt;"",F19&lt;&gt;"",G19&lt;&gt;"",H19&lt;&gt;""),(2*F19+E19)*G19/1000000*H19,0)</f>
        <v/>
      </c>
      <c r="V19" s="75">
        <f>IF(AND(I19&lt;&gt;"",J19&lt;&gt;"",G19&lt;&gt;"",H19&lt;&gt;""),(ROUNDUP((G19/1000+2*VLOOKUP(I19,'1-專案資訊'!A25:I33,8,0)/100)/$B$3,0)-1)*(J19+L19)*H19,0)</f>
        <v/>
      </c>
      <c r="W19" s="75">
        <f>IF(AND(V19&gt;0,I19&lt;&gt;""),V19*VLOOKUP(I19,'1-專案資訊'!A25:I33,8,0)/100,0)</f>
        <v/>
      </c>
      <c r="X19" s="75">
        <f>IF(OR(I19="#3 (D10)",I19="#4 (D13)",I19="#5 (D16)"),R19,0)+IF(OR(K19="#3 (D10)",K19="#4 (D13)",K19="#5 (D16)"),S19,0)+IF(OR(M19="#3 (D10)",M19="#4 (D13)",M19="#5 (D16)"),T19,0)</f>
        <v/>
      </c>
      <c r="Y19" s="75">
        <f>IF(AND(I19&lt;&gt;"",I19&lt;&gt;"#3 (D10)",I19&lt;&gt;"#4 (D13)",I19&lt;&gt;"#5 (D16)"),R19,0)+IF(AND(K19&lt;&gt;"",K19&lt;&gt;"#3 (D10)",K19&lt;&gt;"#4 (D13)",K19&lt;&gt;"#5 (D16)"),S19,0)+IF(AND(M19&lt;&gt;"",M19&lt;&gt;"#3 (D10)",M19&lt;&gt;"#4 (D13)",M19&lt;&gt;"#5 (D16)"),T19,0)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 t="n"/>
      <c r="H20" s="70" t="n"/>
      <c r="I20" s="74" t="n"/>
      <c r="J20" s="70" t="n"/>
      <c r="K20" s="74" t="n"/>
      <c r="L20" s="70" t="n"/>
      <c r="M20" s="74" t="n"/>
      <c r="N20" s="70" t="n"/>
      <c r="O20" s="70" t="n"/>
      <c r="P20" s="70" t="n"/>
      <c r="Q20" s="75">
        <f>IF(AND(E20&lt;&gt;"",F20&lt;&gt;"",G20&lt;&gt;"",H20&lt;&gt;""),E20*F20*G20/1000000000*H20,0)</f>
        <v/>
      </c>
      <c r="R20" s="75">
        <f>IF(AND(I20&lt;&gt;"",J20&lt;&gt;"",G20&lt;&gt;"",H20&lt;&gt;""),VLOOKUP(I20,'1-專案資訊'!A25:I33,4,0)*(G20/1000+2*VLOOKUP(I20,'1-專案資訊'!A25:I33,8,0)/100)*J20*H20,0)</f>
        <v/>
      </c>
      <c r="S20" s="75">
        <f>IF(AND(K20&lt;&gt;"",L20&lt;&gt;"",G20&lt;&gt;"",H20&lt;&gt;""),VLOOKUP(K20,'1-專案資訊'!A25:I33,4,0)*(G20/1000+2*VLOOKUP(K20,'1-專案資訊'!A25:I33,8,0)/100)*L20*H20,0)</f>
        <v/>
      </c>
      <c r="T20" s="75">
        <f>IF(AND(M20&lt;&gt;"",N20&lt;&gt;"",O20&lt;&gt;"",E20&lt;&gt;"",F20&lt;&gt;"",G20&lt;&gt;"",H20&lt;&gt;""),VLOOKUP(M20,'1-專案資訊'!A25:I33,4,0)*(2*((E20+F20)/1000-0.08)+2*VLOOKUP(M20,'1-專案資訊'!A25:I33,9,0)/100)*((G20*0.4/N20)+(G20*0.6/O20)+2)*H20,0)</f>
        <v/>
      </c>
      <c r="U20" s="75">
        <f>IF(AND(E20&lt;&gt;"",F20&lt;&gt;"",G20&lt;&gt;"",H20&lt;&gt;""),(2*F20+E20)*G20/1000000*H20,0)</f>
        <v/>
      </c>
      <c r="V20" s="75">
        <f>IF(AND(I20&lt;&gt;"",J20&lt;&gt;"",G20&lt;&gt;"",H20&lt;&gt;""),(ROUNDUP((G20/1000+2*VLOOKUP(I20,'1-專案資訊'!A25:I33,8,0)/100)/$B$3,0)-1)*(J20+L20)*H20,0)</f>
        <v/>
      </c>
      <c r="W20" s="75">
        <f>IF(AND(V20&gt;0,I20&lt;&gt;""),V20*VLOOKUP(I20,'1-專案資訊'!A25:I33,8,0)/100,0)</f>
        <v/>
      </c>
      <c r="X20" s="75">
        <f>IF(OR(I20="#3 (D10)",I20="#4 (D13)",I20="#5 (D16)"),R20,0)+IF(OR(K20="#3 (D10)",K20="#4 (D13)",K20="#5 (D16)"),S20,0)+IF(OR(M20="#3 (D10)",M20="#4 (D13)",M20="#5 (D16)"),T20,0)</f>
        <v/>
      </c>
      <c r="Y20" s="75">
        <f>IF(AND(I20&lt;&gt;"",I20&lt;&gt;"#3 (D10)",I20&lt;&gt;"#4 (D13)",I20&lt;&gt;"#5 (D16)"),R20,0)+IF(AND(K20&lt;&gt;"",K20&lt;&gt;"#3 (D10)",K20&lt;&gt;"#4 (D13)",K20&lt;&gt;"#5 (D16)"),S20,0)+IF(AND(M20&lt;&gt;"",M20&lt;&gt;"#3 (D10)",M20&lt;&gt;"#4 (D13)",M20&lt;&gt;"#5 (D16)"),T20,0)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 t="n"/>
      <c r="H21" s="70" t="n"/>
      <c r="I21" s="74" t="n"/>
      <c r="J21" s="70" t="n"/>
      <c r="K21" s="74" t="n"/>
      <c r="L21" s="70" t="n"/>
      <c r="M21" s="74" t="n"/>
      <c r="N21" s="70" t="n"/>
      <c r="O21" s="70" t="n"/>
      <c r="P21" s="70" t="n"/>
      <c r="Q21" s="75">
        <f>IF(AND(E21&lt;&gt;"",F21&lt;&gt;"",G21&lt;&gt;"",H21&lt;&gt;""),E21*F21*G21/1000000000*H21,0)</f>
        <v/>
      </c>
      <c r="R21" s="75">
        <f>IF(AND(I21&lt;&gt;"",J21&lt;&gt;"",G21&lt;&gt;"",H21&lt;&gt;""),VLOOKUP(I21,'1-專案資訊'!A25:I33,4,0)*(G21/1000+2*VLOOKUP(I21,'1-專案資訊'!A25:I33,8,0)/100)*J21*H21,0)</f>
        <v/>
      </c>
      <c r="S21" s="75">
        <f>IF(AND(K21&lt;&gt;"",L21&lt;&gt;"",G21&lt;&gt;"",H21&lt;&gt;""),VLOOKUP(K21,'1-專案資訊'!A25:I33,4,0)*(G21/1000+2*VLOOKUP(K21,'1-專案資訊'!A25:I33,8,0)/100)*L21*H21,0)</f>
        <v/>
      </c>
      <c r="T21" s="75">
        <f>IF(AND(M21&lt;&gt;"",N21&lt;&gt;"",O21&lt;&gt;"",E21&lt;&gt;"",F21&lt;&gt;"",G21&lt;&gt;"",H21&lt;&gt;""),VLOOKUP(M21,'1-專案資訊'!A25:I33,4,0)*(2*((E21+F21)/1000-0.08)+2*VLOOKUP(M21,'1-專案資訊'!A25:I33,9,0)/100)*((G21*0.4/N21)+(G21*0.6/O21)+2)*H21,0)</f>
        <v/>
      </c>
      <c r="U21" s="75">
        <f>IF(AND(E21&lt;&gt;"",F21&lt;&gt;"",G21&lt;&gt;"",H21&lt;&gt;""),(2*F21+E21)*G21/1000000*H21,0)</f>
        <v/>
      </c>
      <c r="V21" s="75">
        <f>IF(AND(I21&lt;&gt;"",J21&lt;&gt;"",G21&lt;&gt;"",H21&lt;&gt;""),(ROUNDUP((G21/1000+2*VLOOKUP(I21,'1-專案資訊'!A25:I33,8,0)/100)/$B$3,0)-1)*(J21+L21)*H21,0)</f>
        <v/>
      </c>
      <c r="W21" s="75">
        <f>IF(AND(V21&gt;0,I21&lt;&gt;""),V21*VLOOKUP(I21,'1-專案資訊'!A25:I33,8,0)/100,0)</f>
        <v/>
      </c>
      <c r="X21" s="75">
        <f>IF(OR(I21="#3 (D10)",I21="#4 (D13)",I21="#5 (D16)"),R21,0)+IF(OR(K21="#3 (D10)",K21="#4 (D13)",K21="#5 (D16)"),S21,0)+IF(OR(M21="#3 (D10)",M21="#4 (D13)",M21="#5 (D16)"),T21,0)</f>
        <v/>
      </c>
      <c r="Y21" s="75">
        <f>IF(AND(I21&lt;&gt;"",I21&lt;&gt;"#3 (D10)",I21&lt;&gt;"#4 (D13)",I21&lt;&gt;"#5 (D16)"),R21,0)+IF(AND(K21&lt;&gt;"",K21&lt;&gt;"#3 (D10)",K21&lt;&gt;"#4 (D13)",K21&lt;&gt;"#5 (D16)"),S21,0)+IF(AND(M21&lt;&gt;"",M21&lt;&gt;"#3 (D10)",M21&lt;&gt;"#4 (D13)",M21&lt;&gt;"#5 (D16)"),T21,0)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 t="n"/>
      <c r="H22" s="70" t="n"/>
      <c r="I22" s="74" t="n"/>
      <c r="J22" s="70" t="n"/>
      <c r="K22" s="74" t="n"/>
      <c r="L22" s="70" t="n"/>
      <c r="M22" s="74" t="n"/>
      <c r="N22" s="70" t="n"/>
      <c r="O22" s="70" t="n"/>
      <c r="P22" s="70" t="n"/>
      <c r="Q22" s="75">
        <f>IF(AND(E22&lt;&gt;"",F22&lt;&gt;"",G22&lt;&gt;"",H22&lt;&gt;""),E22*F22*G22/1000000000*H22,0)</f>
        <v/>
      </c>
      <c r="R22" s="75">
        <f>IF(AND(I22&lt;&gt;"",J22&lt;&gt;"",G22&lt;&gt;"",H22&lt;&gt;""),VLOOKUP(I22,'1-專案資訊'!A25:I33,4,0)*(G22/1000+2*VLOOKUP(I22,'1-專案資訊'!A25:I33,8,0)/100)*J22*H22,0)</f>
        <v/>
      </c>
      <c r="S22" s="75">
        <f>IF(AND(K22&lt;&gt;"",L22&lt;&gt;"",G22&lt;&gt;"",H22&lt;&gt;""),VLOOKUP(K22,'1-專案資訊'!A25:I33,4,0)*(G22/1000+2*VLOOKUP(K22,'1-專案資訊'!A25:I33,8,0)/100)*L22*H22,0)</f>
        <v/>
      </c>
      <c r="T22" s="75">
        <f>IF(AND(M22&lt;&gt;"",N22&lt;&gt;"",O22&lt;&gt;"",E22&lt;&gt;"",F22&lt;&gt;"",G22&lt;&gt;"",H22&lt;&gt;""),VLOOKUP(M22,'1-專案資訊'!A25:I33,4,0)*(2*((E22+F22)/1000-0.08)+2*VLOOKUP(M22,'1-專案資訊'!A25:I33,9,0)/100)*((G22*0.4/N22)+(G22*0.6/O22)+2)*H22,0)</f>
        <v/>
      </c>
      <c r="U22" s="75">
        <f>IF(AND(E22&lt;&gt;"",F22&lt;&gt;"",G22&lt;&gt;"",H22&lt;&gt;""),(2*F22+E22)*G22/1000000*H22,0)</f>
        <v/>
      </c>
      <c r="V22" s="75">
        <f>IF(AND(I22&lt;&gt;"",J22&lt;&gt;"",G22&lt;&gt;"",H22&lt;&gt;""),(ROUNDUP((G22/1000+2*VLOOKUP(I22,'1-專案資訊'!A25:I33,8,0)/100)/$B$3,0)-1)*(J22+L22)*H22,0)</f>
        <v/>
      </c>
      <c r="W22" s="75">
        <f>IF(AND(V22&gt;0,I22&lt;&gt;""),V22*VLOOKUP(I22,'1-專案資訊'!A25:I33,8,0)/100,0)</f>
        <v/>
      </c>
      <c r="X22" s="75">
        <f>IF(OR(I22="#3 (D10)",I22="#4 (D13)",I22="#5 (D16)"),R22,0)+IF(OR(K22="#3 (D10)",K22="#4 (D13)",K22="#5 (D16)"),S22,0)+IF(OR(M22="#3 (D10)",M22="#4 (D13)",M22="#5 (D16)"),T22,0)</f>
        <v/>
      </c>
      <c r="Y22" s="75">
        <f>IF(AND(I22&lt;&gt;"",I22&lt;&gt;"#3 (D10)",I22&lt;&gt;"#4 (D13)",I22&lt;&gt;"#5 (D16)"),R22,0)+IF(AND(K22&lt;&gt;"",K22&lt;&gt;"#3 (D10)",K22&lt;&gt;"#4 (D13)",K22&lt;&gt;"#5 (D16)"),S22,0)+IF(AND(M22&lt;&gt;"",M22&lt;&gt;"#3 (D10)",M22&lt;&gt;"#4 (D13)",M22&lt;&gt;"#5 (D16)"),T22,0)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 t="n"/>
      <c r="H23" s="70" t="n"/>
      <c r="I23" s="74" t="n"/>
      <c r="J23" s="70" t="n"/>
      <c r="K23" s="74" t="n"/>
      <c r="L23" s="70" t="n"/>
      <c r="M23" s="74" t="n"/>
      <c r="N23" s="70" t="n"/>
      <c r="O23" s="70" t="n"/>
      <c r="P23" s="70" t="n"/>
      <c r="Q23" s="75">
        <f>IF(AND(E23&lt;&gt;"",F23&lt;&gt;"",G23&lt;&gt;"",H23&lt;&gt;""),E23*F23*G23/1000000000*H23,0)</f>
        <v/>
      </c>
      <c r="R23" s="75">
        <f>IF(AND(I23&lt;&gt;"",J23&lt;&gt;"",G23&lt;&gt;"",H23&lt;&gt;""),VLOOKUP(I23,'1-專案資訊'!A25:I33,4,0)*(G23/1000+2*VLOOKUP(I23,'1-專案資訊'!A25:I33,8,0)/100)*J23*H23,0)</f>
        <v/>
      </c>
      <c r="S23" s="75">
        <f>IF(AND(K23&lt;&gt;"",L23&lt;&gt;"",G23&lt;&gt;"",H23&lt;&gt;""),VLOOKUP(K23,'1-專案資訊'!A25:I33,4,0)*(G23/1000+2*VLOOKUP(K23,'1-專案資訊'!A25:I33,8,0)/100)*L23*H23,0)</f>
        <v/>
      </c>
      <c r="T23" s="75">
        <f>IF(AND(M23&lt;&gt;"",N23&lt;&gt;"",O23&lt;&gt;"",E23&lt;&gt;"",F23&lt;&gt;"",G23&lt;&gt;"",H23&lt;&gt;""),VLOOKUP(M23,'1-專案資訊'!A25:I33,4,0)*(2*((E23+F23)/1000-0.08)+2*VLOOKUP(M23,'1-專案資訊'!A25:I33,9,0)/100)*((G23*0.4/N23)+(G23*0.6/O23)+2)*H23,0)</f>
        <v/>
      </c>
      <c r="U23" s="75">
        <f>IF(AND(E23&lt;&gt;"",F23&lt;&gt;"",G23&lt;&gt;"",H23&lt;&gt;""),(2*F23+E23)*G23/1000000*H23,0)</f>
        <v/>
      </c>
      <c r="V23" s="75">
        <f>IF(AND(I23&lt;&gt;"",J23&lt;&gt;"",G23&lt;&gt;"",H23&lt;&gt;""),(ROUNDUP((G23/1000+2*VLOOKUP(I23,'1-專案資訊'!A25:I33,8,0)/100)/$B$3,0)-1)*(J23+L23)*H23,0)</f>
        <v/>
      </c>
      <c r="W23" s="75">
        <f>IF(AND(V23&gt;0,I23&lt;&gt;""),V23*VLOOKUP(I23,'1-專案資訊'!A25:I33,8,0)/100,0)</f>
        <v/>
      </c>
      <c r="X23" s="75">
        <f>IF(OR(I23="#3 (D10)",I23="#4 (D13)",I23="#5 (D16)"),R23,0)+IF(OR(K23="#3 (D10)",K23="#4 (D13)",K23="#5 (D16)"),S23,0)+IF(OR(M23="#3 (D10)",M23="#4 (D13)",M23="#5 (D16)"),T23,0)</f>
        <v/>
      </c>
      <c r="Y23" s="75">
        <f>IF(AND(I23&lt;&gt;"",I23&lt;&gt;"#3 (D10)",I23&lt;&gt;"#4 (D13)",I23&lt;&gt;"#5 (D16)"),R23,0)+IF(AND(K23&lt;&gt;"",K23&lt;&gt;"#3 (D10)",K23&lt;&gt;"#4 (D13)",K23&lt;&gt;"#5 (D16)"),S23,0)+IF(AND(M23&lt;&gt;"",M23&lt;&gt;"#3 (D10)",M23&lt;&gt;"#4 (D13)",M23&lt;&gt;"#5 (D16)"),T23,0)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 t="n"/>
      <c r="H24" s="70" t="n"/>
      <c r="I24" s="74" t="n"/>
      <c r="J24" s="70" t="n"/>
      <c r="K24" s="74" t="n"/>
      <c r="L24" s="70" t="n"/>
      <c r="M24" s="74" t="n"/>
      <c r="N24" s="70" t="n"/>
      <c r="O24" s="70" t="n"/>
      <c r="P24" s="70" t="n"/>
      <c r="Q24" s="75">
        <f>IF(AND(E24&lt;&gt;"",F24&lt;&gt;"",G24&lt;&gt;"",H24&lt;&gt;""),E24*F24*G24/1000000000*H24,0)</f>
        <v/>
      </c>
      <c r="R24" s="75">
        <f>IF(AND(I24&lt;&gt;"",J24&lt;&gt;"",G24&lt;&gt;"",H24&lt;&gt;""),VLOOKUP(I24,'1-專案資訊'!A25:I33,4,0)*(G24/1000+2*VLOOKUP(I24,'1-專案資訊'!A25:I33,8,0)/100)*J24*H24,0)</f>
        <v/>
      </c>
      <c r="S24" s="75">
        <f>IF(AND(K24&lt;&gt;"",L24&lt;&gt;"",G24&lt;&gt;"",H24&lt;&gt;""),VLOOKUP(K24,'1-專案資訊'!A25:I33,4,0)*(G24/1000+2*VLOOKUP(K24,'1-專案資訊'!A25:I33,8,0)/100)*L24*H24,0)</f>
        <v/>
      </c>
      <c r="T24" s="75">
        <f>IF(AND(M24&lt;&gt;"",N24&lt;&gt;"",O24&lt;&gt;"",E24&lt;&gt;"",F24&lt;&gt;"",G24&lt;&gt;"",H24&lt;&gt;""),VLOOKUP(M24,'1-專案資訊'!A25:I33,4,0)*(2*((E24+F24)/1000-0.08)+2*VLOOKUP(M24,'1-專案資訊'!A25:I33,9,0)/100)*((G24*0.4/N24)+(G24*0.6/O24)+2)*H24,0)</f>
        <v/>
      </c>
      <c r="U24" s="75">
        <f>IF(AND(E24&lt;&gt;"",F24&lt;&gt;"",G24&lt;&gt;"",H24&lt;&gt;""),(2*F24+E24)*G24/1000000*H24,0)</f>
        <v/>
      </c>
      <c r="V24" s="75">
        <f>IF(AND(I24&lt;&gt;"",J24&lt;&gt;"",G24&lt;&gt;"",H24&lt;&gt;""),(ROUNDUP((G24/1000+2*VLOOKUP(I24,'1-專案資訊'!A25:I33,8,0)/100)/$B$3,0)-1)*(J24+L24)*H24,0)</f>
        <v/>
      </c>
      <c r="W24" s="75">
        <f>IF(AND(V24&gt;0,I24&lt;&gt;""),V24*VLOOKUP(I24,'1-專案資訊'!A25:I33,8,0)/100,0)</f>
        <v/>
      </c>
      <c r="X24" s="75">
        <f>IF(OR(I24="#3 (D10)",I24="#4 (D13)",I24="#5 (D16)"),R24,0)+IF(OR(K24="#3 (D10)",K24="#4 (D13)",K24="#5 (D16)"),S24,0)+IF(OR(M24="#3 (D10)",M24="#4 (D13)",M24="#5 (D16)"),T24,0)</f>
        <v/>
      </c>
      <c r="Y24" s="75">
        <f>IF(AND(I24&lt;&gt;"",I24&lt;&gt;"#3 (D10)",I24&lt;&gt;"#4 (D13)",I24&lt;&gt;"#5 (D16)"),R24,0)+IF(AND(K24&lt;&gt;"",K24&lt;&gt;"#3 (D10)",K24&lt;&gt;"#4 (D13)",K24&lt;&gt;"#5 (D16)"),S24,0)+IF(AND(M24&lt;&gt;"",M24&lt;&gt;"#3 (D10)",M24&lt;&gt;"#4 (D13)",M24&lt;&gt;"#5 (D16)"),T24,0)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 t="n"/>
      <c r="H25" s="70" t="n"/>
      <c r="I25" s="74" t="n"/>
      <c r="J25" s="70" t="n"/>
      <c r="K25" s="74" t="n"/>
      <c r="L25" s="70" t="n"/>
      <c r="M25" s="74" t="n"/>
      <c r="N25" s="70" t="n"/>
      <c r="O25" s="70" t="n"/>
      <c r="P25" s="70" t="n"/>
      <c r="Q25" s="75">
        <f>IF(AND(E25&lt;&gt;"",F25&lt;&gt;"",G25&lt;&gt;"",H25&lt;&gt;""),E25*F25*G25/1000000000*H25,0)</f>
        <v/>
      </c>
      <c r="R25" s="75">
        <f>IF(AND(I25&lt;&gt;"",J25&lt;&gt;"",G25&lt;&gt;"",H25&lt;&gt;""),VLOOKUP(I25,'1-專案資訊'!A25:I33,4,0)*(G25/1000+2*VLOOKUP(I25,'1-專案資訊'!A25:I33,8,0)/100)*J25*H25,0)</f>
        <v/>
      </c>
      <c r="S25" s="75">
        <f>IF(AND(K25&lt;&gt;"",L25&lt;&gt;"",G25&lt;&gt;"",H25&lt;&gt;""),VLOOKUP(K25,'1-專案資訊'!A25:I33,4,0)*(G25/1000+2*VLOOKUP(K25,'1-專案資訊'!A25:I33,8,0)/100)*L25*H25,0)</f>
        <v/>
      </c>
      <c r="T25" s="75">
        <f>IF(AND(M25&lt;&gt;"",N25&lt;&gt;"",O25&lt;&gt;"",E25&lt;&gt;"",F25&lt;&gt;"",G25&lt;&gt;"",H25&lt;&gt;""),VLOOKUP(M25,'1-專案資訊'!A25:I33,4,0)*(2*((E25+F25)/1000-0.08)+2*VLOOKUP(M25,'1-專案資訊'!A25:I33,9,0)/100)*((G25*0.4/N25)+(G25*0.6/O25)+2)*H25,0)</f>
        <v/>
      </c>
      <c r="U25" s="75">
        <f>IF(AND(E25&lt;&gt;"",F25&lt;&gt;"",G25&lt;&gt;"",H25&lt;&gt;""),(2*F25+E25)*G25/1000000*H25,0)</f>
        <v/>
      </c>
      <c r="V25" s="75">
        <f>IF(AND(I25&lt;&gt;"",J25&lt;&gt;"",G25&lt;&gt;"",H25&lt;&gt;""),(ROUNDUP((G25/1000+2*VLOOKUP(I25,'1-專案資訊'!A25:I33,8,0)/100)/$B$3,0)-1)*(J25+L25)*H25,0)</f>
        <v/>
      </c>
      <c r="W25" s="75">
        <f>IF(AND(V25&gt;0,I25&lt;&gt;""),V25*VLOOKUP(I25,'1-專案資訊'!A25:I33,8,0)/100,0)</f>
        <v/>
      </c>
      <c r="X25" s="75">
        <f>IF(OR(I25="#3 (D10)",I25="#4 (D13)",I25="#5 (D16)"),R25,0)+IF(OR(K25="#3 (D10)",K25="#4 (D13)",K25="#5 (D16)"),S25,0)+IF(OR(M25="#3 (D10)",M25="#4 (D13)",M25="#5 (D16)"),T25,0)</f>
        <v/>
      </c>
      <c r="Y25" s="75">
        <f>IF(AND(I25&lt;&gt;"",I25&lt;&gt;"#3 (D10)",I25&lt;&gt;"#4 (D13)",I25&lt;&gt;"#5 (D16)"),R25,0)+IF(AND(K25&lt;&gt;"",K25&lt;&gt;"#3 (D10)",K25&lt;&gt;"#4 (D13)",K25&lt;&gt;"#5 (D16)"),S25,0)+IF(AND(M25&lt;&gt;"",M25&lt;&gt;"#3 (D10)",M25&lt;&gt;"#4 (D13)",M25&lt;&gt;"#5 (D16)"),T25,0)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 t="n"/>
      <c r="H26" s="70" t="n"/>
      <c r="I26" s="74" t="n"/>
      <c r="J26" s="70" t="n"/>
      <c r="K26" s="74" t="n"/>
      <c r="L26" s="70" t="n"/>
      <c r="M26" s="74" t="n"/>
      <c r="N26" s="70" t="n"/>
      <c r="O26" s="70" t="n"/>
      <c r="P26" s="70" t="n"/>
      <c r="Q26" s="75">
        <f>IF(AND(E26&lt;&gt;"",F26&lt;&gt;"",G26&lt;&gt;"",H26&lt;&gt;""),E26*F26*G26/1000000000*H26,0)</f>
        <v/>
      </c>
      <c r="R26" s="75">
        <f>IF(AND(I26&lt;&gt;"",J26&lt;&gt;"",G26&lt;&gt;"",H26&lt;&gt;""),VLOOKUP(I26,'1-專案資訊'!A25:I33,4,0)*(G26/1000+2*VLOOKUP(I26,'1-專案資訊'!A25:I33,8,0)/100)*J26*H26,0)</f>
        <v/>
      </c>
      <c r="S26" s="75">
        <f>IF(AND(K26&lt;&gt;"",L26&lt;&gt;"",G26&lt;&gt;"",H26&lt;&gt;""),VLOOKUP(K26,'1-專案資訊'!A25:I33,4,0)*(G26/1000+2*VLOOKUP(K26,'1-專案資訊'!A25:I33,8,0)/100)*L26*H26,0)</f>
        <v/>
      </c>
      <c r="T26" s="75">
        <f>IF(AND(M26&lt;&gt;"",N26&lt;&gt;"",O26&lt;&gt;"",E26&lt;&gt;"",F26&lt;&gt;"",G26&lt;&gt;"",H26&lt;&gt;""),VLOOKUP(M26,'1-專案資訊'!A25:I33,4,0)*(2*((E26+F26)/1000-0.08)+2*VLOOKUP(M26,'1-專案資訊'!A25:I33,9,0)/100)*((G26*0.4/N26)+(G26*0.6/O26)+2)*H26,0)</f>
        <v/>
      </c>
      <c r="U26" s="75">
        <f>IF(AND(E26&lt;&gt;"",F26&lt;&gt;"",G26&lt;&gt;"",H26&lt;&gt;""),(2*F26+E26)*G26/1000000*H26,0)</f>
        <v/>
      </c>
      <c r="V26" s="75">
        <f>IF(AND(I26&lt;&gt;"",J26&lt;&gt;"",G26&lt;&gt;"",H26&lt;&gt;""),(ROUNDUP((G26/1000+2*VLOOKUP(I26,'1-專案資訊'!A25:I33,8,0)/100)/$B$3,0)-1)*(J26+L26)*H26,0)</f>
        <v/>
      </c>
      <c r="W26" s="75">
        <f>IF(AND(V26&gt;0,I26&lt;&gt;""),V26*VLOOKUP(I26,'1-專案資訊'!A25:I33,8,0)/100,0)</f>
        <v/>
      </c>
      <c r="X26" s="75">
        <f>IF(OR(I26="#3 (D10)",I26="#4 (D13)",I26="#5 (D16)"),R26,0)+IF(OR(K26="#3 (D10)",K26="#4 (D13)",K26="#5 (D16)"),S26,0)+IF(OR(M26="#3 (D10)",M26="#4 (D13)",M26="#5 (D16)"),T26,0)</f>
        <v/>
      </c>
      <c r="Y26" s="75">
        <f>IF(AND(I26&lt;&gt;"",I26&lt;&gt;"#3 (D10)",I26&lt;&gt;"#4 (D13)",I26&lt;&gt;"#5 (D16)"),R26,0)+IF(AND(K26&lt;&gt;"",K26&lt;&gt;"#3 (D10)",K26&lt;&gt;"#4 (D13)",K26&lt;&gt;"#5 (D16)"),S26,0)+IF(AND(M26&lt;&gt;"",M26&lt;&gt;"#3 (D10)",M26&lt;&gt;"#4 (D13)",M26&lt;&gt;"#5 (D16)"),T26,0)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 t="n"/>
      <c r="H27" s="70" t="n"/>
      <c r="I27" s="74" t="n"/>
      <c r="J27" s="70" t="n"/>
      <c r="K27" s="74" t="n"/>
      <c r="L27" s="70" t="n"/>
      <c r="M27" s="74" t="n"/>
      <c r="N27" s="70" t="n"/>
      <c r="O27" s="70" t="n"/>
      <c r="P27" s="70" t="n"/>
      <c r="Q27" s="75">
        <f>IF(AND(E27&lt;&gt;"",F27&lt;&gt;"",G27&lt;&gt;"",H27&lt;&gt;""),E27*F27*G27/1000000000*H27,0)</f>
        <v/>
      </c>
      <c r="R27" s="75">
        <f>IF(AND(I27&lt;&gt;"",J27&lt;&gt;"",G27&lt;&gt;"",H27&lt;&gt;""),VLOOKUP(I27,'1-專案資訊'!A25:I33,4,0)*(G27/1000+2*VLOOKUP(I27,'1-專案資訊'!A25:I33,8,0)/100)*J27*H27,0)</f>
        <v/>
      </c>
      <c r="S27" s="75">
        <f>IF(AND(K27&lt;&gt;"",L27&lt;&gt;"",G27&lt;&gt;"",H27&lt;&gt;""),VLOOKUP(K27,'1-專案資訊'!A25:I33,4,0)*(G27/1000+2*VLOOKUP(K27,'1-專案資訊'!A25:I33,8,0)/100)*L27*H27,0)</f>
        <v/>
      </c>
      <c r="T27" s="75">
        <f>IF(AND(M27&lt;&gt;"",N27&lt;&gt;"",O27&lt;&gt;"",E27&lt;&gt;"",F27&lt;&gt;"",G27&lt;&gt;"",H27&lt;&gt;""),VLOOKUP(M27,'1-專案資訊'!A25:I33,4,0)*(2*((E27+F27)/1000-0.08)+2*VLOOKUP(M27,'1-專案資訊'!A25:I33,9,0)/100)*((G27*0.4/N27)+(G27*0.6/O27)+2)*H27,0)</f>
        <v/>
      </c>
      <c r="U27" s="75">
        <f>IF(AND(E27&lt;&gt;"",F27&lt;&gt;"",G27&lt;&gt;"",H27&lt;&gt;""),(2*F27+E27)*G27/1000000*H27,0)</f>
        <v/>
      </c>
      <c r="V27" s="75">
        <f>IF(AND(I27&lt;&gt;"",J27&lt;&gt;"",G27&lt;&gt;"",H27&lt;&gt;""),(ROUNDUP((G27/1000+2*VLOOKUP(I27,'1-專案資訊'!A25:I33,8,0)/100)/$B$3,0)-1)*(J27+L27)*H27,0)</f>
        <v/>
      </c>
      <c r="W27" s="75">
        <f>IF(AND(V27&gt;0,I27&lt;&gt;""),V27*VLOOKUP(I27,'1-專案資訊'!A25:I33,8,0)/100,0)</f>
        <v/>
      </c>
      <c r="X27" s="75">
        <f>IF(OR(I27="#3 (D10)",I27="#4 (D13)",I27="#5 (D16)"),R27,0)+IF(OR(K27="#3 (D10)",K27="#4 (D13)",K27="#5 (D16)"),S27,0)+IF(OR(M27="#3 (D10)",M27="#4 (D13)",M27="#5 (D16)"),T27,0)</f>
        <v/>
      </c>
      <c r="Y27" s="75">
        <f>IF(AND(I27&lt;&gt;"",I27&lt;&gt;"#3 (D10)",I27&lt;&gt;"#4 (D13)",I27&lt;&gt;"#5 (D16)"),R27,0)+IF(AND(K27&lt;&gt;"",K27&lt;&gt;"#3 (D10)",K27&lt;&gt;"#4 (D13)",K27&lt;&gt;"#5 (D16)"),S27,0)+IF(AND(M27&lt;&gt;"",M27&lt;&gt;"#3 (D10)",M27&lt;&gt;"#4 (D13)",M27&lt;&gt;"#5 (D16)"),T27,0)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 t="n"/>
      <c r="H28" s="70" t="n"/>
      <c r="I28" s="74" t="n"/>
      <c r="J28" s="70" t="n"/>
      <c r="K28" s="74" t="n"/>
      <c r="L28" s="70" t="n"/>
      <c r="M28" s="74" t="n"/>
      <c r="N28" s="70" t="n"/>
      <c r="O28" s="70" t="n"/>
      <c r="P28" s="70" t="n"/>
      <c r="Q28" s="75">
        <f>IF(AND(E28&lt;&gt;"",F28&lt;&gt;"",G28&lt;&gt;"",H28&lt;&gt;""),E28*F28*G28/1000000000*H28,0)</f>
        <v/>
      </c>
      <c r="R28" s="75">
        <f>IF(AND(I28&lt;&gt;"",J28&lt;&gt;"",G28&lt;&gt;"",H28&lt;&gt;""),VLOOKUP(I28,'1-專案資訊'!A25:I33,4,0)*(G28/1000+2*VLOOKUP(I28,'1-專案資訊'!A25:I33,8,0)/100)*J28*H28,0)</f>
        <v/>
      </c>
      <c r="S28" s="75">
        <f>IF(AND(K28&lt;&gt;"",L28&lt;&gt;"",G28&lt;&gt;"",H28&lt;&gt;""),VLOOKUP(K28,'1-專案資訊'!A25:I33,4,0)*(G28/1000+2*VLOOKUP(K28,'1-專案資訊'!A25:I33,8,0)/100)*L28*H28,0)</f>
        <v/>
      </c>
      <c r="T28" s="75">
        <f>IF(AND(M28&lt;&gt;"",N28&lt;&gt;"",O28&lt;&gt;"",E28&lt;&gt;"",F28&lt;&gt;"",G28&lt;&gt;"",H28&lt;&gt;""),VLOOKUP(M28,'1-專案資訊'!A25:I33,4,0)*(2*((E28+F28)/1000-0.08)+2*VLOOKUP(M28,'1-專案資訊'!A25:I33,9,0)/100)*((G28*0.4/N28)+(G28*0.6/O28)+2)*H28,0)</f>
        <v/>
      </c>
      <c r="U28" s="75">
        <f>IF(AND(E28&lt;&gt;"",F28&lt;&gt;"",G28&lt;&gt;"",H28&lt;&gt;""),(2*F28+E28)*G28/1000000*H28,0)</f>
        <v/>
      </c>
      <c r="V28" s="75">
        <f>IF(AND(I28&lt;&gt;"",J28&lt;&gt;"",G28&lt;&gt;"",H28&lt;&gt;""),(ROUNDUP((G28/1000+2*VLOOKUP(I28,'1-專案資訊'!A25:I33,8,0)/100)/$B$3,0)-1)*(J28+L28)*H28,0)</f>
        <v/>
      </c>
      <c r="W28" s="75">
        <f>IF(AND(V28&gt;0,I28&lt;&gt;""),V28*VLOOKUP(I28,'1-專案資訊'!A25:I33,8,0)/100,0)</f>
        <v/>
      </c>
      <c r="X28" s="75">
        <f>IF(OR(I28="#3 (D10)",I28="#4 (D13)",I28="#5 (D16)"),R28,0)+IF(OR(K28="#3 (D10)",K28="#4 (D13)",K28="#5 (D16)"),S28,0)+IF(OR(M28="#3 (D10)",M28="#4 (D13)",M28="#5 (D16)"),T28,0)</f>
        <v/>
      </c>
      <c r="Y28" s="75">
        <f>IF(AND(I28&lt;&gt;"",I28&lt;&gt;"#3 (D10)",I28&lt;&gt;"#4 (D13)",I28&lt;&gt;"#5 (D16)"),R28,0)+IF(AND(K28&lt;&gt;"",K28&lt;&gt;"#3 (D10)",K28&lt;&gt;"#4 (D13)",K28&lt;&gt;"#5 (D16)"),S28,0)+IF(AND(M28&lt;&gt;"",M28&lt;&gt;"#3 (D10)",M28&lt;&gt;"#4 (D13)",M28&lt;&gt;"#5 (D16)"),T28,0)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 t="n"/>
      <c r="H29" s="70" t="n"/>
      <c r="I29" s="74" t="n"/>
      <c r="J29" s="70" t="n"/>
      <c r="K29" s="74" t="n"/>
      <c r="L29" s="70" t="n"/>
      <c r="M29" s="74" t="n"/>
      <c r="N29" s="70" t="n"/>
      <c r="O29" s="70" t="n"/>
      <c r="P29" s="70" t="n"/>
      <c r="Q29" s="75">
        <f>IF(AND(E29&lt;&gt;"",F29&lt;&gt;"",G29&lt;&gt;"",H29&lt;&gt;""),E29*F29*G29/1000000000*H29,0)</f>
        <v/>
      </c>
      <c r="R29" s="75">
        <f>IF(AND(I29&lt;&gt;"",J29&lt;&gt;"",G29&lt;&gt;"",H29&lt;&gt;""),VLOOKUP(I29,'1-專案資訊'!A25:I33,4,0)*(G29/1000+2*VLOOKUP(I29,'1-專案資訊'!A25:I33,8,0)/100)*J29*H29,0)</f>
        <v/>
      </c>
      <c r="S29" s="75">
        <f>IF(AND(K29&lt;&gt;"",L29&lt;&gt;"",G29&lt;&gt;"",H29&lt;&gt;""),VLOOKUP(K29,'1-專案資訊'!A25:I33,4,0)*(G29/1000+2*VLOOKUP(K29,'1-專案資訊'!A25:I33,8,0)/100)*L29*H29,0)</f>
        <v/>
      </c>
      <c r="T29" s="75">
        <f>IF(AND(M29&lt;&gt;"",N29&lt;&gt;"",O29&lt;&gt;"",E29&lt;&gt;"",F29&lt;&gt;"",G29&lt;&gt;"",H29&lt;&gt;""),VLOOKUP(M29,'1-專案資訊'!A25:I33,4,0)*(2*((E29+F29)/1000-0.08)+2*VLOOKUP(M29,'1-專案資訊'!A25:I33,9,0)/100)*((G29*0.4/N29)+(G29*0.6/O29)+2)*H29,0)</f>
        <v/>
      </c>
      <c r="U29" s="75">
        <f>IF(AND(E29&lt;&gt;"",F29&lt;&gt;"",G29&lt;&gt;"",H29&lt;&gt;""),(2*F29+E29)*G29/1000000*H29,0)</f>
        <v/>
      </c>
      <c r="V29" s="75">
        <f>IF(AND(I29&lt;&gt;"",J29&lt;&gt;"",G29&lt;&gt;"",H29&lt;&gt;""),(ROUNDUP((G29/1000+2*VLOOKUP(I29,'1-專案資訊'!A25:I33,8,0)/100)/$B$3,0)-1)*(J29+L29)*H29,0)</f>
        <v/>
      </c>
      <c r="W29" s="75">
        <f>IF(AND(V29&gt;0,I29&lt;&gt;""),V29*VLOOKUP(I29,'1-專案資訊'!A25:I33,8,0)/100,0)</f>
        <v/>
      </c>
      <c r="X29" s="75">
        <f>IF(OR(I29="#3 (D10)",I29="#4 (D13)",I29="#5 (D16)"),R29,0)+IF(OR(K29="#3 (D10)",K29="#4 (D13)",K29="#5 (D16)"),S29,0)+IF(OR(M29="#3 (D10)",M29="#4 (D13)",M29="#5 (D16)"),T29,0)</f>
        <v/>
      </c>
      <c r="Y29" s="75">
        <f>IF(AND(I29&lt;&gt;"",I29&lt;&gt;"#3 (D10)",I29&lt;&gt;"#4 (D13)",I29&lt;&gt;"#5 (D16)"),R29,0)+IF(AND(K29&lt;&gt;"",K29&lt;&gt;"#3 (D10)",K29&lt;&gt;"#4 (D13)",K29&lt;&gt;"#5 (D16)"),S29,0)+IF(AND(M29&lt;&gt;"",M29&lt;&gt;"#3 (D10)",M29&lt;&gt;"#4 (D13)",M29&lt;&gt;"#5 (D16)"),T29,0)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 t="n"/>
      <c r="H30" s="70" t="n"/>
      <c r="I30" s="74" t="n"/>
      <c r="J30" s="70" t="n"/>
      <c r="K30" s="74" t="n"/>
      <c r="L30" s="70" t="n"/>
      <c r="M30" s="74" t="n"/>
      <c r="N30" s="70" t="n"/>
      <c r="O30" s="70" t="n"/>
      <c r="P30" s="70" t="n"/>
      <c r="Q30" s="75">
        <f>IF(AND(E30&lt;&gt;"",F30&lt;&gt;"",G30&lt;&gt;"",H30&lt;&gt;""),E30*F30*G30/1000000000*H30,0)</f>
        <v/>
      </c>
      <c r="R30" s="75">
        <f>IF(AND(I30&lt;&gt;"",J30&lt;&gt;"",G30&lt;&gt;"",H30&lt;&gt;""),VLOOKUP(I30,'1-專案資訊'!A25:I33,4,0)*(G30/1000+2*VLOOKUP(I30,'1-專案資訊'!A25:I33,8,0)/100)*J30*H30,0)</f>
        <v/>
      </c>
      <c r="S30" s="75">
        <f>IF(AND(K30&lt;&gt;"",L30&lt;&gt;"",G30&lt;&gt;"",H30&lt;&gt;""),VLOOKUP(K30,'1-專案資訊'!A25:I33,4,0)*(G30/1000+2*VLOOKUP(K30,'1-專案資訊'!A25:I33,8,0)/100)*L30*H30,0)</f>
        <v/>
      </c>
      <c r="T30" s="75">
        <f>IF(AND(M30&lt;&gt;"",N30&lt;&gt;"",O30&lt;&gt;"",E30&lt;&gt;"",F30&lt;&gt;"",G30&lt;&gt;"",H30&lt;&gt;""),VLOOKUP(M30,'1-專案資訊'!A25:I33,4,0)*(2*((E30+F30)/1000-0.08)+2*VLOOKUP(M30,'1-專案資訊'!A25:I33,9,0)/100)*((G30*0.4/N30)+(G30*0.6/O30)+2)*H30,0)</f>
        <v/>
      </c>
      <c r="U30" s="75">
        <f>IF(AND(E30&lt;&gt;"",F30&lt;&gt;"",G30&lt;&gt;"",H30&lt;&gt;""),(2*F30+E30)*G30/1000000*H30,0)</f>
        <v/>
      </c>
      <c r="V30" s="75">
        <f>IF(AND(I30&lt;&gt;"",J30&lt;&gt;"",G30&lt;&gt;"",H30&lt;&gt;""),(ROUNDUP((G30/1000+2*VLOOKUP(I30,'1-專案資訊'!A25:I33,8,0)/100)/$B$3,0)-1)*(J30+L30)*H30,0)</f>
        <v/>
      </c>
      <c r="W30" s="75">
        <f>IF(AND(V30&gt;0,I30&lt;&gt;""),V30*VLOOKUP(I30,'1-專案資訊'!A25:I33,8,0)/100,0)</f>
        <v/>
      </c>
      <c r="X30" s="75">
        <f>IF(OR(I30="#3 (D10)",I30="#4 (D13)",I30="#5 (D16)"),R30,0)+IF(OR(K30="#3 (D10)",K30="#4 (D13)",K30="#5 (D16)"),S30,0)+IF(OR(M30="#3 (D10)",M30="#4 (D13)",M30="#5 (D16)"),T30,0)</f>
        <v/>
      </c>
      <c r="Y30" s="75">
        <f>IF(AND(I30&lt;&gt;"",I30&lt;&gt;"#3 (D10)",I30&lt;&gt;"#4 (D13)",I30&lt;&gt;"#5 (D16)"),R30,0)+IF(AND(K30&lt;&gt;"",K30&lt;&gt;"#3 (D10)",K30&lt;&gt;"#4 (D13)",K30&lt;&gt;"#5 (D16)"),S30,0)+IF(AND(M30&lt;&gt;"",M30&lt;&gt;"#3 (D10)",M30&lt;&gt;"#4 (D13)",M30&lt;&gt;"#5 (D16)"),T30,0)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 t="n"/>
      <c r="H31" s="70" t="n"/>
      <c r="I31" s="74" t="n"/>
      <c r="J31" s="70" t="n"/>
      <c r="K31" s="74" t="n"/>
      <c r="L31" s="70" t="n"/>
      <c r="M31" s="74" t="n"/>
      <c r="N31" s="70" t="n"/>
      <c r="O31" s="70" t="n"/>
      <c r="P31" s="70" t="n"/>
      <c r="Q31" s="75">
        <f>IF(AND(E31&lt;&gt;"",F31&lt;&gt;"",G31&lt;&gt;"",H31&lt;&gt;""),E31*F31*G31/1000000000*H31,0)</f>
        <v/>
      </c>
      <c r="R31" s="75">
        <f>IF(AND(I31&lt;&gt;"",J31&lt;&gt;"",G31&lt;&gt;"",H31&lt;&gt;""),VLOOKUP(I31,'1-專案資訊'!A25:I33,4,0)*(G31/1000+2*VLOOKUP(I31,'1-專案資訊'!A25:I33,8,0)/100)*J31*H31,0)</f>
        <v/>
      </c>
      <c r="S31" s="75">
        <f>IF(AND(K31&lt;&gt;"",L31&lt;&gt;"",G31&lt;&gt;"",H31&lt;&gt;""),VLOOKUP(K31,'1-專案資訊'!A25:I33,4,0)*(G31/1000+2*VLOOKUP(K31,'1-專案資訊'!A25:I33,8,0)/100)*L31*H31,0)</f>
        <v/>
      </c>
      <c r="T31" s="75">
        <f>IF(AND(M31&lt;&gt;"",N31&lt;&gt;"",O31&lt;&gt;"",E31&lt;&gt;"",F31&lt;&gt;"",G31&lt;&gt;"",H31&lt;&gt;""),VLOOKUP(M31,'1-專案資訊'!A25:I33,4,0)*(2*((E31+F31)/1000-0.08)+2*VLOOKUP(M31,'1-專案資訊'!A25:I33,9,0)/100)*((G31*0.4/N31)+(G31*0.6/O31)+2)*H31,0)</f>
        <v/>
      </c>
      <c r="U31" s="75">
        <f>IF(AND(E31&lt;&gt;"",F31&lt;&gt;"",G31&lt;&gt;"",H31&lt;&gt;""),(2*F31+E31)*G31/1000000*H31,0)</f>
        <v/>
      </c>
      <c r="V31" s="75">
        <f>IF(AND(I31&lt;&gt;"",J31&lt;&gt;"",G31&lt;&gt;"",H31&lt;&gt;""),(ROUNDUP((G31/1000+2*VLOOKUP(I31,'1-專案資訊'!A25:I33,8,0)/100)/$B$3,0)-1)*(J31+L31)*H31,0)</f>
        <v/>
      </c>
      <c r="W31" s="75">
        <f>IF(AND(V31&gt;0,I31&lt;&gt;""),V31*VLOOKUP(I31,'1-專案資訊'!A25:I33,8,0)/100,0)</f>
        <v/>
      </c>
      <c r="X31" s="75">
        <f>IF(OR(I31="#3 (D10)",I31="#4 (D13)",I31="#5 (D16)"),R31,0)+IF(OR(K31="#3 (D10)",K31="#4 (D13)",K31="#5 (D16)"),S31,0)+IF(OR(M31="#3 (D10)",M31="#4 (D13)",M31="#5 (D16)"),T31,0)</f>
        <v/>
      </c>
      <c r="Y31" s="75">
        <f>IF(AND(I31&lt;&gt;"",I31&lt;&gt;"#3 (D10)",I31&lt;&gt;"#4 (D13)",I31&lt;&gt;"#5 (D16)"),R31,0)+IF(AND(K31&lt;&gt;"",K31&lt;&gt;"#3 (D10)",K31&lt;&gt;"#4 (D13)",K31&lt;&gt;"#5 (D16)"),S31,0)+IF(AND(M31&lt;&gt;"",M31&lt;&gt;"#3 (D10)",M31&lt;&gt;"#4 (D13)",M31&lt;&gt;"#5 (D16)"),T31,0)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 t="n"/>
      <c r="H32" s="70" t="n"/>
      <c r="I32" s="74" t="n"/>
      <c r="J32" s="70" t="n"/>
      <c r="K32" s="74" t="n"/>
      <c r="L32" s="70" t="n"/>
      <c r="M32" s="74" t="n"/>
      <c r="N32" s="70" t="n"/>
      <c r="O32" s="70" t="n"/>
      <c r="P32" s="70" t="n"/>
      <c r="Q32" s="75">
        <f>IF(AND(E32&lt;&gt;"",F32&lt;&gt;"",G32&lt;&gt;"",H32&lt;&gt;""),E32*F32*G32/1000000000*H32,0)</f>
        <v/>
      </c>
      <c r="R32" s="75">
        <f>IF(AND(I32&lt;&gt;"",J32&lt;&gt;"",G32&lt;&gt;"",H32&lt;&gt;""),VLOOKUP(I32,'1-專案資訊'!A25:I33,4,0)*(G32/1000+2*VLOOKUP(I32,'1-專案資訊'!A25:I33,8,0)/100)*J32*H32,0)</f>
        <v/>
      </c>
      <c r="S32" s="75">
        <f>IF(AND(K32&lt;&gt;"",L32&lt;&gt;"",G32&lt;&gt;"",H32&lt;&gt;""),VLOOKUP(K32,'1-專案資訊'!A25:I33,4,0)*(G32/1000+2*VLOOKUP(K32,'1-專案資訊'!A25:I33,8,0)/100)*L32*H32,0)</f>
        <v/>
      </c>
      <c r="T32" s="75">
        <f>IF(AND(M32&lt;&gt;"",N32&lt;&gt;"",O32&lt;&gt;"",E32&lt;&gt;"",F32&lt;&gt;"",G32&lt;&gt;"",H32&lt;&gt;""),VLOOKUP(M32,'1-專案資訊'!A25:I33,4,0)*(2*((E32+F32)/1000-0.08)+2*VLOOKUP(M32,'1-專案資訊'!A25:I33,9,0)/100)*((G32*0.4/N32)+(G32*0.6/O32)+2)*H32,0)</f>
        <v/>
      </c>
      <c r="U32" s="75">
        <f>IF(AND(E32&lt;&gt;"",F32&lt;&gt;"",G32&lt;&gt;"",H32&lt;&gt;""),(2*F32+E32)*G32/1000000*H32,0)</f>
        <v/>
      </c>
      <c r="V32" s="75">
        <f>IF(AND(I32&lt;&gt;"",J32&lt;&gt;"",G32&lt;&gt;"",H32&lt;&gt;""),(ROUNDUP((G32/1000+2*VLOOKUP(I32,'1-專案資訊'!A25:I33,8,0)/100)/$B$3,0)-1)*(J32+L32)*H32,0)</f>
        <v/>
      </c>
      <c r="W32" s="75">
        <f>IF(AND(V32&gt;0,I32&lt;&gt;""),V32*VLOOKUP(I32,'1-專案資訊'!A25:I33,8,0)/100,0)</f>
        <v/>
      </c>
      <c r="X32" s="75">
        <f>IF(OR(I32="#3 (D10)",I32="#4 (D13)",I32="#5 (D16)"),R32,0)+IF(OR(K32="#3 (D10)",K32="#4 (D13)",K32="#5 (D16)"),S32,0)+IF(OR(M32="#3 (D10)",M32="#4 (D13)",M32="#5 (D16)"),T32,0)</f>
        <v/>
      </c>
      <c r="Y32" s="75">
        <f>IF(AND(I32&lt;&gt;"",I32&lt;&gt;"#3 (D10)",I32&lt;&gt;"#4 (D13)",I32&lt;&gt;"#5 (D16)"),R32,0)+IF(AND(K32&lt;&gt;"",K32&lt;&gt;"#3 (D10)",K32&lt;&gt;"#4 (D13)",K32&lt;&gt;"#5 (D16)"),S32,0)+IF(AND(M32&lt;&gt;"",M32&lt;&gt;"#3 (D10)",M32&lt;&gt;"#4 (D13)",M32&lt;&gt;"#5 (D16)"),T32,0)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 t="n"/>
      <c r="H33" s="70" t="n"/>
      <c r="I33" s="74" t="n"/>
      <c r="J33" s="70" t="n"/>
      <c r="K33" s="74" t="n"/>
      <c r="L33" s="70" t="n"/>
      <c r="M33" s="74" t="n"/>
      <c r="N33" s="70" t="n"/>
      <c r="O33" s="70" t="n"/>
      <c r="P33" s="70" t="n"/>
      <c r="Q33" s="75">
        <f>IF(AND(E33&lt;&gt;"",F33&lt;&gt;"",G33&lt;&gt;"",H33&lt;&gt;""),E33*F33*G33/1000000000*H33,0)</f>
        <v/>
      </c>
      <c r="R33" s="75">
        <f>IF(AND(I33&lt;&gt;"",J33&lt;&gt;"",G33&lt;&gt;"",H33&lt;&gt;""),VLOOKUP(I33,'1-專案資訊'!A25:I33,4,0)*(G33/1000+2*VLOOKUP(I33,'1-專案資訊'!A25:I33,8,0)/100)*J33*H33,0)</f>
        <v/>
      </c>
      <c r="S33" s="75">
        <f>IF(AND(K33&lt;&gt;"",L33&lt;&gt;"",G33&lt;&gt;"",H33&lt;&gt;""),VLOOKUP(K33,'1-專案資訊'!A25:I33,4,0)*(G33/1000+2*VLOOKUP(K33,'1-專案資訊'!A25:I33,8,0)/100)*L33*H33,0)</f>
        <v/>
      </c>
      <c r="T33" s="75">
        <f>IF(AND(M33&lt;&gt;"",N33&lt;&gt;"",O33&lt;&gt;"",E33&lt;&gt;"",F33&lt;&gt;"",G33&lt;&gt;"",H33&lt;&gt;""),VLOOKUP(M33,'1-專案資訊'!A25:I33,4,0)*(2*((E33+F33)/1000-0.08)+2*VLOOKUP(M33,'1-專案資訊'!A25:I33,9,0)/100)*((G33*0.4/N33)+(G33*0.6/O33)+2)*H33,0)</f>
        <v/>
      </c>
      <c r="U33" s="75">
        <f>IF(AND(E33&lt;&gt;"",F33&lt;&gt;"",G33&lt;&gt;"",H33&lt;&gt;""),(2*F33+E33)*G33/1000000*H33,0)</f>
        <v/>
      </c>
      <c r="V33" s="75">
        <f>IF(AND(I33&lt;&gt;"",J33&lt;&gt;"",G33&lt;&gt;"",H33&lt;&gt;""),(ROUNDUP((G33/1000+2*VLOOKUP(I33,'1-專案資訊'!A25:I33,8,0)/100)/$B$3,0)-1)*(J33+L33)*H33,0)</f>
        <v/>
      </c>
      <c r="W33" s="75">
        <f>IF(AND(V33&gt;0,I33&lt;&gt;""),V33*VLOOKUP(I33,'1-專案資訊'!A25:I33,8,0)/100,0)</f>
        <v/>
      </c>
      <c r="X33" s="75">
        <f>IF(OR(I33="#3 (D10)",I33="#4 (D13)",I33="#5 (D16)"),R33,0)+IF(OR(K33="#3 (D10)",K33="#4 (D13)",K33="#5 (D16)"),S33,0)+IF(OR(M33="#3 (D10)",M33="#4 (D13)",M33="#5 (D16)"),T33,0)</f>
        <v/>
      </c>
      <c r="Y33" s="75">
        <f>IF(AND(I33&lt;&gt;"",I33&lt;&gt;"#3 (D10)",I33&lt;&gt;"#4 (D13)",I33&lt;&gt;"#5 (D16)"),R33,0)+IF(AND(K33&lt;&gt;"",K33&lt;&gt;"#3 (D10)",K33&lt;&gt;"#4 (D13)",K33&lt;&gt;"#5 (D16)"),S33,0)+IF(AND(M33&lt;&gt;"",M33&lt;&gt;"#3 (D10)",M33&lt;&gt;"#4 (D13)",M33&lt;&gt;"#5 (D16)"),T33,0)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 t="n"/>
      <c r="H34" s="70" t="n"/>
      <c r="I34" s="74" t="n"/>
      <c r="J34" s="70" t="n"/>
      <c r="K34" s="74" t="n"/>
      <c r="L34" s="70" t="n"/>
      <c r="M34" s="74" t="n"/>
      <c r="N34" s="70" t="n"/>
      <c r="O34" s="70" t="n"/>
      <c r="P34" s="70" t="n"/>
      <c r="Q34" s="75">
        <f>IF(AND(E34&lt;&gt;"",F34&lt;&gt;"",G34&lt;&gt;"",H34&lt;&gt;""),E34*F34*G34/1000000000*H34,0)</f>
        <v/>
      </c>
      <c r="R34" s="75">
        <f>IF(AND(I34&lt;&gt;"",J34&lt;&gt;"",G34&lt;&gt;"",H34&lt;&gt;""),VLOOKUP(I34,'1-專案資訊'!A25:I33,4,0)*(G34/1000+2*VLOOKUP(I34,'1-專案資訊'!A25:I33,8,0)/100)*J34*H34,0)</f>
        <v/>
      </c>
      <c r="S34" s="75">
        <f>IF(AND(K34&lt;&gt;"",L34&lt;&gt;"",G34&lt;&gt;"",H34&lt;&gt;""),VLOOKUP(K34,'1-專案資訊'!A25:I33,4,0)*(G34/1000+2*VLOOKUP(K34,'1-專案資訊'!A25:I33,8,0)/100)*L34*H34,0)</f>
        <v/>
      </c>
      <c r="T34" s="75">
        <f>IF(AND(M34&lt;&gt;"",N34&lt;&gt;"",O34&lt;&gt;"",E34&lt;&gt;"",F34&lt;&gt;"",G34&lt;&gt;"",H34&lt;&gt;""),VLOOKUP(M34,'1-專案資訊'!A25:I33,4,0)*(2*((E34+F34)/1000-0.08)+2*VLOOKUP(M34,'1-專案資訊'!A25:I33,9,0)/100)*((G34*0.4/N34)+(G34*0.6/O34)+2)*H34,0)</f>
        <v/>
      </c>
      <c r="U34" s="75">
        <f>IF(AND(E34&lt;&gt;"",F34&lt;&gt;"",G34&lt;&gt;"",H34&lt;&gt;""),(2*F34+E34)*G34/1000000*H34,0)</f>
        <v/>
      </c>
      <c r="V34" s="75">
        <f>IF(AND(I34&lt;&gt;"",J34&lt;&gt;"",G34&lt;&gt;"",H34&lt;&gt;""),(ROUNDUP((G34/1000+2*VLOOKUP(I34,'1-專案資訊'!A25:I33,8,0)/100)/$B$3,0)-1)*(J34+L34)*H34,0)</f>
        <v/>
      </c>
      <c r="W34" s="75">
        <f>IF(AND(V34&gt;0,I34&lt;&gt;""),V34*VLOOKUP(I34,'1-專案資訊'!A25:I33,8,0)/100,0)</f>
        <v/>
      </c>
      <c r="X34" s="75">
        <f>IF(OR(I34="#3 (D10)",I34="#4 (D13)",I34="#5 (D16)"),R34,0)+IF(OR(K34="#3 (D10)",K34="#4 (D13)",K34="#5 (D16)"),S34,0)+IF(OR(M34="#3 (D10)",M34="#4 (D13)",M34="#5 (D16)"),T34,0)</f>
        <v/>
      </c>
      <c r="Y34" s="75">
        <f>IF(AND(I34&lt;&gt;"",I34&lt;&gt;"#3 (D10)",I34&lt;&gt;"#4 (D13)",I34&lt;&gt;"#5 (D16)"),R34,0)+IF(AND(K34&lt;&gt;"",K34&lt;&gt;"#3 (D10)",K34&lt;&gt;"#4 (D13)",K34&lt;&gt;"#5 (D16)"),S34,0)+IF(AND(M34&lt;&gt;"",M34&lt;&gt;"#3 (D10)",M34&lt;&gt;"#4 (D13)",M34&lt;&gt;"#5 (D16)"),T34,0)</f>
        <v/>
      </c>
    </row>
    <row r="35" ht="16.5" customHeight="1" s="48">
      <c r="B35" s="76" t="inlineStr">
        <is>
          <t>合計</t>
        </is>
      </c>
      <c r="Q35" s="77">
        <f>SUM(Q5:Q34)</f>
        <v/>
      </c>
      <c r="R35" s="77">
        <f>SUM(R5:R34)</f>
        <v/>
      </c>
      <c r="S35" s="77">
        <f>SUM(S5:S34)</f>
        <v/>
      </c>
      <c r="T35" s="77">
        <f>SUM(T5:T34)</f>
        <v/>
      </c>
      <c r="U35" s="77">
        <f>SUM(U5:U34)</f>
        <v/>
      </c>
      <c r="V35" s="77">
        <f>SUM(V5:V34)</f>
        <v/>
      </c>
      <c r="W35" s="77">
        <f>SUM(W5:W34)</f>
        <v/>
      </c>
      <c r="X35" s="77">
        <f>SUM(X5:X34)</f>
        <v/>
      </c>
      <c r="Y35" s="77">
        <f>SUM(Y5:Y34)</f>
        <v/>
      </c>
    </row>
  </sheetData>
  <mergeCells count="2">
    <mergeCell ref="A1:AA1"/>
    <mergeCell ref="A2:AA2"/>
  </mergeCells>
  <dataValidations count="4">
    <dataValidation sqref="D5:D34" showDropDown="0" showInputMessage="0" showErrorMessage="0" allowBlank="1" type="list" errorStyle="stop" operator="between">
      <formula1>"G-01,B-01"</formula1>
      <formula2>0</formula2>
    </dataValidation>
    <dataValidation sqref="I5:I34" showDropDown="0" showInputMessage="0" showErrorMessage="0" allowBlank="1" type="list" errorStyle="stop" operator="between">
      <formula1>"#3 (D10),#4 (D13),#5 (D16),#6 (D19),#7 (D22),#8 (D25),#9 (D29),#10 (D32),#11 (D36)"</formula1>
      <formula2>0</formula2>
    </dataValidation>
    <dataValidation sqref="K5:K34" showDropDown="0" showInputMessage="0" showErrorMessage="0" allowBlank="1" type="list" errorStyle="stop" operator="between">
      <formula1>"#3 (D10),#4 (D13),#5 (D16),#6 (D19),#7 (D22),#8 (D25),#9 (D29),#10 (D32),#11 (D36)"</formula1>
      <formula2>0</formula2>
    </dataValidation>
    <dataValidation sqref="M5:M34" showDropDown="0" showInputMessage="0" showErrorMessage="0" allowBlank="1" type="list" errorStyle="stop" operator="between">
      <formula1>"#3 (D10),#4 (D13),#5 (D16)"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Z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3"/>
    <col width="10" customWidth="1" style="47" min="4" max="5"/>
    <col width="9" customWidth="1" style="47" min="6" max="6"/>
    <col width="7" customWidth="1" style="47" min="7" max="7"/>
    <col width="12" customWidth="1" style="47" min="8" max="8"/>
    <col width="9" customWidth="1" style="47" min="9" max="9"/>
    <col width="12" customWidth="1" style="47" min="10" max="10"/>
    <col width="9" customWidth="1" style="47" min="11" max="11"/>
    <col width="14" customWidth="1" style="47" min="12" max="12"/>
    <col width="11" customWidth="1" style="47" min="13" max="20"/>
    <col width="12" customWidth="1" style="47" min="21" max="22"/>
  </cols>
  <sheetData>
    <row r="1" ht="17.25" customHeight="1" s="48">
      <c r="A1" s="68" t="inlineStr">
        <is>
          <t>樓板 數量計算表</t>
        </is>
      </c>
    </row>
    <row r="2" ht="13.5" customHeight="1" s="48">
      <c r="A2" s="50" t="inlineStr">
        <is>
          <t>雙向x1.15搭接。含鋼絲網/粉光/搭接統計。</t>
        </is>
      </c>
    </row>
    <row r="3" ht="15" customHeight="1" s="48">
      <c r="A3" s="51" t="inlineStr">
        <is>
          <t>預設鋼筋長度 (m):</t>
        </is>
      </c>
      <c r="B3" s="71" t="n">
        <v>6</v>
      </c>
      <c r="C3" s="50" t="inlineStr">
        <is>
          <t>← 可調整</t>
        </is>
      </c>
    </row>
    <row r="4" ht="26.2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版編號</t>
        </is>
      </c>
      <c r="D4" s="59" t="inlineStr">
        <is>
          <t>▼型式</t>
        </is>
      </c>
      <c r="E4" s="59" t="inlineStr">
        <is>
          <t>長 (cm)</t>
        </is>
      </c>
      <c r="F4" s="59" t="inlineStr">
        <is>
          <t>寬 (cm)</t>
        </is>
      </c>
      <c r="G4" s="59" t="inlineStr">
        <is>
          <t>面積 (m2)</t>
        </is>
      </c>
      <c r="H4" s="59" t="inlineStr">
        <is>
          <t>厚度 (cm)</t>
        </is>
      </c>
      <c r="I4" s="59" t="inlineStr">
        <is>
          <t>數量</t>
        </is>
      </c>
      <c r="J4" s="59" t="inlineStr">
        <is>
          <t>▼配筋方式</t>
        </is>
      </c>
      <c r="K4" s="59" t="inlineStr">
        <is>
          <t>▼層數</t>
        </is>
      </c>
      <c r="L4" s="59" t="inlineStr">
        <is>
          <t>▼上層筋</t>
        </is>
      </c>
      <c r="M4" s="59" t="inlineStr">
        <is>
          <t>上間距 (cm)</t>
        </is>
      </c>
      <c r="N4" s="59" t="inlineStr">
        <is>
          <t>▼下層筋</t>
        </is>
      </c>
      <c r="O4" s="59" t="inlineStr">
        <is>
          <t>下間距 (cm)</t>
        </is>
      </c>
      <c r="P4" s="59" t="inlineStr">
        <is>
          <t>▼鋼絲網</t>
        </is>
      </c>
      <c r="Q4" s="59" t="inlineStr">
        <is>
          <t>混凝土 (m3)</t>
        </is>
      </c>
      <c r="R4" s="59" t="inlineStr">
        <is>
          <t>上筋重 (kg)</t>
        </is>
      </c>
      <c r="S4" s="59" t="inlineStr">
        <is>
          <t>下筋重 (kg)</t>
        </is>
      </c>
      <c r="T4" s="59" t="inlineStr">
        <is>
          <t>鋼絲網 (kg)</t>
        </is>
      </c>
      <c r="U4" s="72" t="inlineStr">
        <is>
          <t>模板 (m2)</t>
        </is>
      </c>
      <c r="V4" s="73" t="inlineStr">
        <is>
          <t>粉光 (m2)</t>
        </is>
      </c>
      <c r="W4" s="47" t="inlineStr">
        <is>
          <t>搭接次數</t>
        </is>
      </c>
      <c r="X4" s="47" t="inlineStr">
        <is>
          <t>搭接長度 (m)</t>
        </is>
      </c>
      <c r="Y4" s="47" t="inlineStr">
        <is>
          <t>SD280 (kg)</t>
        </is>
      </c>
      <c r="Z4" s="47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>
        <f>IF(AND(E5&lt;&gt;"",F5&lt;&gt;""),E5*F5/10000,"")</f>
        <v/>
      </c>
      <c r="H5" s="74" t="n"/>
      <c r="I5" s="70" t="n"/>
      <c r="J5" s="74" t="n"/>
      <c r="K5" s="70" t="n"/>
      <c r="L5" s="74" t="n"/>
      <c r="M5" s="75" t="n"/>
      <c r="N5" s="75" t="n"/>
      <c r="O5" s="75" t="n"/>
      <c r="P5" s="75" t="n"/>
      <c r="Q5" s="75">
        <f>IF(AND(G5&lt;&gt;"",H5&lt;&gt;"",I5&lt;&gt;""),G5*H5/100*I5,0)</f>
        <v/>
      </c>
      <c r="R5" s="75">
        <f>IF(AND(J5="鋼筋",K5=2,L5&lt;&gt;"",M5&lt;&gt;"",G5&lt;&gt;"",I5&lt;&gt;""),VLOOKUP(L5,'1-專案資訊'!A25:I33,4,0)/(M5/100)*2*1.15*G5*I5,0)</f>
        <v/>
      </c>
      <c r="S5" s="75">
        <f>IF(AND(J5="鋼筋",N5&lt;&gt;"",O5&lt;&gt;"",G5&lt;&gt;"",I5&lt;&gt;""),VLOOKUP(N5,'1-專案資訊'!A25:I33,4,0)/(O5/100)*2*1.15*G5*I5,0)</f>
        <v/>
      </c>
      <c r="T5" s="75">
        <f>IF(AND(J5="鋼絲網",P5&lt;&gt;"",G5&lt;&gt;"",I5&lt;&gt;""),VLOOKUP(P5,'1-專案資訊'!A38:B48,2,0)*G5*I5,0)</f>
        <v/>
      </c>
      <c r="U5" s="75">
        <f>IF(AND(G5&lt;&gt;"",I5&lt;&gt;""),G5*I5,0)</f>
        <v/>
      </c>
      <c r="V5" s="75">
        <f>IF(AND(G5&lt;&gt;"",I5&lt;&gt;""),G5*I5,0)</f>
        <v/>
      </c>
      <c r="W5" s="47">
        <f>IF(AND(J5="鋼筋",N5&lt;&gt;"",O5&lt;&gt;"",G5&lt;&gt;"",I5&lt;&gt;""),ROUNDUP(SQRT(G5)/$B$3,0)*2*SQRT(G5)/(O5/100)*I5,0)</f>
        <v/>
      </c>
      <c r="X5" s="47">
        <f>IF(AND(W5&gt;0,N5&lt;&gt;""),W5*VLOOKUP(N5,'1-專案資訊'!A25:I33,8,0)/100,0)</f>
        <v/>
      </c>
      <c r="Y5" s="47">
        <f>IF(OR(L5="#3 (D10)",L5="#4 (D13)",L5="#5 (D16)"),R5,0)+IF(OR(N5="#3 (D10)",N5="#4 (D13)",N5="#5 (D16)"),S5,0)</f>
        <v/>
      </c>
      <c r="Z5" s="47">
        <f>IF(AND(L5&lt;&gt;"",L5&lt;&gt;"#3 (D10)",L5&lt;&gt;"#4 (D13)",L5&lt;&gt;"#5 (D16)"),R5,0)+IF(AND(N5&lt;&gt;"",N5&lt;&gt;"#3 (D10)",N5&lt;&gt;"#4 (D13)",N5&lt;&gt;"#5 (D16)"),S5,0)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>
        <f>IF(AND(E6&lt;&gt;"",F6&lt;&gt;""),E6*F6/10000,"")</f>
        <v/>
      </c>
      <c r="H6" s="74" t="n"/>
      <c r="I6" s="70" t="n"/>
      <c r="J6" s="74" t="n"/>
      <c r="K6" s="70" t="n"/>
      <c r="L6" s="74" t="n"/>
      <c r="M6" s="75" t="n"/>
      <c r="N6" s="75" t="n"/>
      <c r="O6" s="75" t="n"/>
      <c r="P6" s="75" t="n"/>
      <c r="Q6" s="75">
        <f>IF(AND(G6&lt;&gt;"",H6&lt;&gt;"",I6&lt;&gt;""),G6*H6/100*I6,0)</f>
        <v/>
      </c>
      <c r="R6" s="75">
        <f>IF(AND(J6="鋼筋",K6=2,L6&lt;&gt;"",M6&lt;&gt;"",G6&lt;&gt;"",I6&lt;&gt;""),VLOOKUP(L6,'1-專案資訊'!A25:I33,4,0)/(M6/100)*2*1.15*G6*I6,0)</f>
        <v/>
      </c>
      <c r="S6" s="75">
        <f>IF(AND(J6="鋼筋",N6&lt;&gt;"",O6&lt;&gt;"",G6&lt;&gt;"",I6&lt;&gt;""),VLOOKUP(N6,'1-專案資訊'!A25:I33,4,0)/(O6/100)*2*1.15*G6*I6,0)</f>
        <v/>
      </c>
      <c r="T6" s="75">
        <f>IF(AND(J6="鋼絲網",P6&lt;&gt;"",G6&lt;&gt;"",I6&lt;&gt;""),VLOOKUP(P6,'1-專案資訊'!A38:B48,2,0)*G6*I6,0)</f>
        <v/>
      </c>
      <c r="U6" s="75">
        <f>IF(AND(G6&lt;&gt;"",I6&lt;&gt;""),G6*I6,0)</f>
        <v/>
      </c>
      <c r="V6" s="75">
        <f>IF(AND(G6&lt;&gt;"",I6&lt;&gt;""),G6*I6,0)</f>
        <v/>
      </c>
      <c r="W6" s="47">
        <f>IF(AND(J6="鋼筋",N6&lt;&gt;"",O6&lt;&gt;"",G6&lt;&gt;"",I6&lt;&gt;""),ROUNDUP(SQRT(G6)/$B$3,0)*2*SQRT(G6)/(O6/100)*I6,0)</f>
        <v/>
      </c>
      <c r="X6" s="47">
        <f>IF(AND(W6&gt;0,N6&lt;&gt;""),W6*VLOOKUP(N6,'1-專案資訊'!A25:I33,8,0)/100,0)</f>
        <v/>
      </c>
      <c r="Y6" s="47">
        <f>IF(OR(L6="#3 (D10)",L6="#4 (D13)",L6="#5 (D16)"),R6,0)+IF(OR(N6="#3 (D10)",N6="#4 (D13)",N6="#5 (D16)"),S6,0)</f>
        <v/>
      </c>
      <c r="Z6" s="47">
        <f>IF(AND(L6&lt;&gt;"",L6&lt;&gt;"#3 (D10)",L6&lt;&gt;"#4 (D13)",L6&lt;&gt;"#5 (D16)"),R6,0)+IF(AND(N6&lt;&gt;"",N6&lt;&gt;"#3 (D10)",N6&lt;&gt;"#4 (D13)",N6&lt;&gt;"#5 (D16)"),S6,0)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>
        <f>IF(AND(E7&lt;&gt;"",F7&lt;&gt;""),E7*F7/10000,"")</f>
        <v/>
      </c>
      <c r="H7" s="74" t="n"/>
      <c r="I7" s="70" t="n"/>
      <c r="J7" s="74" t="n"/>
      <c r="K7" s="70" t="n"/>
      <c r="L7" s="74" t="n"/>
      <c r="M7" s="75" t="n"/>
      <c r="N7" s="75" t="n"/>
      <c r="O7" s="75" t="n"/>
      <c r="P7" s="75" t="n"/>
      <c r="Q7" s="75">
        <f>IF(AND(G7&lt;&gt;"",H7&lt;&gt;"",I7&lt;&gt;""),G7*H7/100*I7,0)</f>
        <v/>
      </c>
      <c r="R7" s="75">
        <f>IF(AND(J7="鋼筋",K7=2,L7&lt;&gt;"",M7&lt;&gt;"",G7&lt;&gt;"",I7&lt;&gt;""),VLOOKUP(L7,'1-專案資訊'!A25:I33,4,0)/(M7/100)*2*1.15*G7*I7,0)</f>
        <v/>
      </c>
      <c r="S7" s="75">
        <f>IF(AND(J7="鋼筋",N7&lt;&gt;"",O7&lt;&gt;"",G7&lt;&gt;"",I7&lt;&gt;""),VLOOKUP(N7,'1-專案資訊'!A25:I33,4,0)/(O7/100)*2*1.15*G7*I7,0)</f>
        <v/>
      </c>
      <c r="T7" s="75">
        <f>IF(AND(J7="鋼絲網",P7&lt;&gt;"",G7&lt;&gt;"",I7&lt;&gt;""),VLOOKUP(P7,'1-專案資訊'!A38:B48,2,0)*G7*I7,0)</f>
        <v/>
      </c>
      <c r="U7" s="75">
        <f>IF(AND(G7&lt;&gt;"",I7&lt;&gt;""),G7*I7,0)</f>
        <v/>
      </c>
      <c r="V7" s="75">
        <f>IF(AND(G7&lt;&gt;"",I7&lt;&gt;""),G7*I7,0)</f>
        <v/>
      </c>
      <c r="W7" s="47">
        <f>IF(AND(J7="鋼筋",N7&lt;&gt;"",O7&lt;&gt;"",G7&lt;&gt;"",I7&lt;&gt;""),ROUNDUP(SQRT(G7)/$B$3,0)*2*SQRT(G7)/(O7/100)*I7,0)</f>
        <v/>
      </c>
      <c r="X7" s="47">
        <f>IF(AND(W7&gt;0,N7&lt;&gt;""),W7*VLOOKUP(N7,'1-專案資訊'!A25:I33,8,0)/100,0)</f>
        <v/>
      </c>
      <c r="Y7" s="47">
        <f>IF(OR(L7="#3 (D10)",L7="#4 (D13)",L7="#5 (D16)"),R7,0)+IF(OR(N7="#3 (D10)",N7="#4 (D13)",N7="#5 (D16)"),S7,0)</f>
        <v/>
      </c>
      <c r="Z7" s="47">
        <f>IF(AND(L7&lt;&gt;"",L7&lt;&gt;"#3 (D10)",L7&lt;&gt;"#4 (D13)",L7&lt;&gt;"#5 (D16)"),R7,0)+IF(AND(N7&lt;&gt;"",N7&lt;&gt;"#3 (D10)",N7&lt;&gt;"#4 (D13)",N7&lt;&gt;"#5 (D16)"),S7,0)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>
        <f>IF(AND(E8&lt;&gt;"",F8&lt;&gt;""),E8*F8/10000,"")</f>
        <v/>
      </c>
      <c r="H8" s="74" t="n"/>
      <c r="I8" s="70" t="n"/>
      <c r="J8" s="74" t="n"/>
      <c r="K8" s="70" t="n"/>
      <c r="L8" s="74" t="n"/>
      <c r="M8" s="75" t="n"/>
      <c r="N8" s="75" t="n"/>
      <c r="O8" s="75" t="n"/>
      <c r="P8" s="75" t="n"/>
      <c r="Q8" s="75">
        <f>IF(AND(G8&lt;&gt;"",H8&lt;&gt;"",I8&lt;&gt;""),G8*H8/100*I8,0)</f>
        <v/>
      </c>
      <c r="R8" s="75">
        <f>IF(AND(J8="鋼筋",K8=2,L8&lt;&gt;"",M8&lt;&gt;"",G8&lt;&gt;"",I8&lt;&gt;""),VLOOKUP(L8,'1-專案資訊'!A25:I33,4,0)/(M8/100)*2*1.15*G8*I8,0)</f>
        <v/>
      </c>
      <c r="S8" s="75">
        <f>IF(AND(J8="鋼筋",N8&lt;&gt;"",O8&lt;&gt;"",G8&lt;&gt;"",I8&lt;&gt;""),VLOOKUP(N8,'1-專案資訊'!A25:I33,4,0)/(O8/100)*2*1.15*G8*I8,0)</f>
        <v/>
      </c>
      <c r="T8" s="75">
        <f>IF(AND(J8="鋼絲網",P8&lt;&gt;"",G8&lt;&gt;"",I8&lt;&gt;""),VLOOKUP(P8,'1-專案資訊'!A38:B48,2,0)*G8*I8,0)</f>
        <v/>
      </c>
      <c r="U8" s="75">
        <f>IF(AND(G8&lt;&gt;"",I8&lt;&gt;""),G8*I8,0)</f>
        <v/>
      </c>
      <c r="V8" s="75">
        <f>IF(AND(G8&lt;&gt;"",I8&lt;&gt;""),G8*I8,0)</f>
        <v/>
      </c>
      <c r="W8" s="47">
        <f>IF(AND(J8="鋼筋",N8&lt;&gt;"",O8&lt;&gt;"",G8&lt;&gt;"",I8&lt;&gt;""),ROUNDUP(SQRT(G8)/$B$3,0)*2*SQRT(G8)/(O8/100)*I8,0)</f>
        <v/>
      </c>
      <c r="X8" s="47">
        <f>IF(AND(W8&gt;0,N8&lt;&gt;""),W8*VLOOKUP(N8,'1-專案資訊'!A25:I33,8,0)/100,0)</f>
        <v/>
      </c>
      <c r="Y8" s="47">
        <f>IF(OR(L8="#3 (D10)",L8="#4 (D13)",L8="#5 (D16)"),R8,0)+IF(OR(N8="#3 (D10)",N8="#4 (D13)",N8="#5 (D16)"),S8,0)</f>
        <v/>
      </c>
      <c r="Z8" s="47">
        <f>IF(AND(L8&lt;&gt;"",L8&lt;&gt;"#3 (D10)",L8&lt;&gt;"#4 (D13)",L8&lt;&gt;"#5 (D16)"),R8,0)+IF(AND(N8&lt;&gt;"",N8&lt;&gt;"#3 (D10)",N8&lt;&gt;"#4 (D13)",N8&lt;&gt;"#5 (D16)"),S8,0)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>
        <f>IF(AND(E9&lt;&gt;"",F9&lt;&gt;""),E9*F9/10000,"")</f>
        <v/>
      </c>
      <c r="H9" s="74" t="n"/>
      <c r="I9" s="70" t="n"/>
      <c r="J9" s="74" t="n"/>
      <c r="K9" s="70" t="n"/>
      <c r="L9" s="74" t="n"/>
      <c r="M9" s="75" t="n"/>
      <c r="N9" s="75" t="n"/>
      <c r="O9" s="75" t="n"/>
      <c r="P9" s="75" t="n"/>
      <c r="Q9" s="75">
        <f>IF(AND(G9&lt;&gt;"",H9&lt;&gt;"",I9&lt;&gt;""),G9*H9/100*I9,0)</f>
        <v/>
      </c>
      <c r="R9" s="75">
        <f>IF(AND(J9="鋼筋",K9=2,L9&lt;&gt;"",M9&lt;&gt;"",G9&lt;&gt;"",I9&lt;&gt;""),VLOOKUP(L9,'1-專案資訊'!A25:I33,4,0)/(M9/100)*2*1.15*G9*I9,0)</f>
        <v/>
      </c>
      <c r="S9" s="75">
        <f>IF(AND(J9="鋼筋",N9&lt;&gt;"",O9&lt;&gt;"",G9&lt;&gt;"",I9&lt;&gt;""),VLOOKUP(N9,'1-專案資訊'!A25:I33,4,0)/(O9/100)*2*1.15*G9*I9,0)</f>
        <v/>
      </c>
      <c r="T9" s="75">
        <f>IF(AND(J9="鋼絲網",P9&lt;&gt;"",G9&lt;&gt;"",I9&lt;&gt;""),VLOOKUP(P9,'1-專案資訊'!A38:B48,2,0)*G9*I9,0)</f>
        <v/>
      </c>
      <c r="U9" s="75">
        <f>IF(AND(G9&lt;&gt;"",I9&lt;&gt;""),G9*I9,0)</f>
        <v/>
      </c>
      <c r="V9" s="75">
        <f>IF(AND(G9&lt;&gt;"",I9&lt;&gt;""),G9*I9,0)</f>
        <v/>
      </c>
      <c r="W9" s="47">
        <f>IF(AND(J9="鋼筋",N9&lt;&gt;"",O9&lt;&gt;"",G9&lt;&gt;"",I9&lt;&gt;""),ROUNDUP(SQRT(G9)/$B$3,0)*2*SQRT(G9)/(O9/100)*I9,0)</f>
        <v/>
      </c>
      <c r="X9" s="47">
        <f>IF(AND(W9&gt;0,N9&lt;&gt;""),W9*VLOOKUP(N9,'1-專案資訊'!A25:I33,8,0)/100,0)</f>
        <v/>
      </c>
      <c r="Y9" s="47">
        <f>IF(OR(L9="#3 (D10)",L9="#4 (D13)",L9="#5 (D16)"),R9,0)+IF(OR(N9="#3 (D10)",N9="#4 (D13)",N9="#5 (D16)"),S9,0)</f>
        <v/>
      </c>
      <c r="Z9" s="47">
        <f>IF(AND(L9&lt;&gt;"",L9&lt;&gt;"#3 (D10)",L9&lt;&gt;"#4 (D13)",L9&lt;&gt;"#5 (D16)"),R9,0)+IF(AND(N9&lt;&gt;"",N9&lt;&gt;"#3 (D10)",N9&lt;&gt;"#4 (D13)",N9&lt;&gt;"#5 (D16)"),S9,0)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>
        <f>IF(AND(E10&lt;&gt;"",F10&lt;&gt;""),E10*F10/10000,"")</f>
        <v/>
      </c>
      <c r="H10" s="74" t="n"/>
      <c r="I10" s="70" t="n"/>
      <c r="J10" s="74" t="n"/>
      <c r="K10" s="70" t="n"/>
      <c r="L10" s="74" t="n"/>
      <c r="M10" s="75" t="n"/>
      <c r="N10" s="75" t="n"/>
      <c r="O10" s="75" t="n"/>
      <c r="P10" s="75" t="n"/>
      <c r="Q10" s="75">
        <f>IF(AND(G10&lt;&gt;"",H10&lt;&gt;"",I10&lt;&gt;""),G10*H10/100*I10,0)</f>
        <v/>
      </c>
      <c r="R10" s="75">
        <f>IF(AND(J10="鋼筋",K10=2,L10&lt;&gt;"",M10&lt;&gt;"",G10&lt;&gt;"",I10&lt;&gt;""),VLOOKUP(L10,'1-專案資訊'!A25:I33,4,0)/(M10/100)*2*1.15*G10*I10,0)</f>
        <v/>
      </c>
      <c r="S10" s="75">
        <f>IF(AND(J10="鋼筋",N10&lt;&gt;"",O10&lt;&gt;"",G10&lt;&gt;"",I10&lt;&gt;""),VLOOKUP(N10,'1-專案資訊'!A25:I33,4,0)/(O10/100)*2*1.15*G10*I10,0)</f>
        <v/>
      </c>
      <c r="T10" s="75">
        <f>IF(AND(J10="鋼絲網",P10&lt;&gt;"",G10&lt;&gt;"",I10&lt;&gt;""),VLOOKUP(P10,'1-專案資訊'!A38:B48,2,0)*G10*I10,0)</f>
        <v/>
      </c>
      <c r="U10" s="75">
        <f>IF(AND(G10&lt;&gt;"",I10&lt;&gt;""),G10*I10,0)</f>
        <v/>
      </c>
      <c r="V10" s="75">
        <f>IF(AND(G10&lt;&gt;"",I10&lt;&gt;""),G10*I10,0)</f>
        <v/>
      </c>
      <c r="W10" s="47">
        <f>IF(AND(J10="鋼筋",N10&lt;&gt;"",O10&lt;&gt;"",G10&lt;&gt;"",I10&lt;&gt;""),ROUNDUP(SQRT(G10)/$B$3,0)*2*SQRT(G10)/(O10/100)*I10,0)</f>
        <v/>
      </c>
      <c r="X10" s="47">
        <f>IF(AND(W10&gt;0,N10&lt;&gt;""),W10*VLOOKUP(N10,'1-專案資訊'!A25:I33,8,0)/100,0)</f>
        <v/>
      </c>
      <c r="Y10" s="47">
        <f>IF(OR(L10="#3 (D10)",L10="#4 (D13)",L10="#5 (D16)"),R10,0)+IF(OR(N10="#3 (D10)",N10="#4 (D13)",N10="#5 (D16)"),S10,0)</f>
        <v/>
      </c>
      <c r="Z10" s="47">
        <f>IF(AND(L10&lt;&gt;"",L10&lt;&gt;"#3 (D10)",L10&lt;&gt;"#4 (D13)",L10&lt;&gt;"#5 (D16)"),R10,0)+IF(AND(N10&lt;&gt;"",N10&lt;&gt;"#3 (D10)",N10&lt;&gt;"#4 (D13)",N10&lt;&gt;"#5 (D16)"),S10,0)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>
        <f>IF(AND(E11&lt;&gt;"",F11&lt;&gt;""),E11*F11/10000,"")</f>
        <v/>
      </c>
      <c r="H11" s="74" t="n"/>
      <c r="I11" s="70" t="n"/>
      <c r="J11" s="74" t="n"/>
      <c r="K11" s="70" t="n"/>
      <c r="L11" s="74" t="n"/>
      <c r="M11" s="75" t="n"/>
      <c r="N11" s="75" t="n"/>
      <c r="O11" s="75" t="n"/>
      <c r="P11" s="75" t="n"/>
      <c r="Q11" s="75">
        <f>IF(AND(G11&lt;&gt;"",H11&lt;&gt;"",I11&lt;&gt;""),G11*H11/100*I11,0)</f>
        <v/>
      </c>
      <c r="R11" s="75">
        <f>IF(AND(J11="鋼筋",K11=2,L11&lt;&gt;"",M11&lt;&gt;"",G11&lt;&gt;"",I11&lt;&gt;""),VLOOKUP(L11,'1-專案資訊'!A25:I33,4,0)/(M11/100)*2*1.15*G11*I11,0)</f>
        <v/>
      </c>
      <c r="S11" s="75">
        <f>IF(AND(J11="鋼筋",N11&lt;&gt;"",O11&lt;&gt;"",G11&lt;&gt;"",I11&lt;&gt;""),VLOOKUP(N11,'1-專案資訊'!A25:I33,4,0)/(O11/100)*2*1.15*G11*I11,0)</f>
        <v/>
      </c>
      <c r="T11" s="75">
        <f>IF(AND(J11="鋼絲網",P11&lt;&gt;"",G11&lt;&gt;"",I11&lt;&gt;""),VLOOKUP(P11,'1-專案資訊'!A38:B48,2,0)*G11*I11,0)</f>
        <v/>
      </c>
      <c r="U11" s="75">
        <f>IF(AND(G11&lt;&gt;"",I11&lt;&gt;""),G11*I11,0)</f>
        <v/>
      </c>
      <c r="V11" s="75">
        <f>IF(AND(G11&lt;&gt;"",I11&lt;&gt;""),G11*I11,0)</f>
        <v/>
      </c>
      <c r="W11" s="47">
        <f>IF(AND(J11="鋼筋",N11&lt;&gt;"",O11&lt;&gt;"",G11&lt;&gt;"",I11&lt;&gt;""),ROUNDUP(SQRT(G11)/$B$3,0)*2*SQRT(G11)/(O11/100)*I11,0)</f>
        <v/>
      </c>
      <c r="X11" s="47">
        <f>IF(AND(W11&gt;0,N11&lt;&gt;""),W11*VLOOKUP(N11,'1-專案資訊'!A25:I33,8,0)/100,0)</f>
        <v/>
      </c>
      <c r="Y11" s="47">
        <f>IF(OR(L11="#3 (D10)",L11="#4 (D13)",L11="#5 (D16)"),R11,0)+IF(OR(N11="#3 (D10)",N11="#4 (D13)",N11="#5 (D16)"),S11,0)</f>
        <v/>
      </c>
      <c r="Z11" s="47">
        <f>IF(AND(L11&lt;&gt;"",L11&lt;&gt;"#3 (D10)",L11&lt;&gt;"#4 (D13)",L11&lt;&gt;"#5 (D16)"),R11,0)+IF(AND(N11&lt;&gt;"",N11&lt;&gt;"#3 (D10)",N11&lt;&gt;"#4 (D13)",N11&lt;&gt;"#5 (D16)"),S11,0)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>
        <f>IF(AND(E12&lt;&gt;"",F12&lt;&gt;""),E12*F12/10000,"")</f>
        <v/>
      </c>
      <c r="H12" s="74" t="n"/>
      <c r="I12" s="70" t="n"/>
      <c r="J12" s="74" t="n"/>
      <c r="K12" s="70" t="n"/>
      <c r="L12" s="74" t="n"/>
      <c r="M12" s="75" t="n"/>
      <c r="N12" s="75" t="n"/>
      <c r="O12" s="75" t="n"/>
      <c r="P12" s="75" t="n"/>
      <c r="Q12" s="75">
        <f>IF(AND(G12&lt;&gt;"",H12&lt;&gt;"",I12&lt;&gt;""),G12*H12/100*I12,0)</f>
        <v/>
      </c>
      <c r="R12" s="75">
        <f>IF(AND(J12="鋼筋",K12=2,L12&lt;&gt;"",M12&lt;&gt;"",G12&lt;&gt;"",I12&lt;&gt;""),VLOOKUP(L12,'1-專案資訊'!A25:I33,4,0)/(M12/100)*2*1.15*G12*I12,0)</f>
        <v/>
      </c>
      <c r="S12" s="75">
        <f>IF(AND(J12="鋼筋",N12&lt;&gt;"",O12&lt;&gt;"",G12&lt;&gt;"",I12&lt;&gt;""),VLOOKUP(N12,'1-專案資訊'!A25:I33,4,0)/(O12/100)*2*1.15*G12*I12,0)</f>
        <v/>
      </c>
      <c r="T12" s="75">
        <f>IF(AND(J12="鋼絲網",P12&lt;&gt;"",G12&lt;&gt;"",I12&lt;&gt;""),VLOOKUP(P12,'1-專案資訊'!A38:B48,2,0)*G12*I12,0)</f>
        <v/>
      </c>
      <c r="U12" s="75">
        <f>IF(AND(G12&lt;&gt;"",I12&lt;&gt;""),G12*I12,0)</f>
        <v/>
      </c>
      <c r="V12" s="75">
        <f>IF(AND(G12&lt;&gt;"",I12&lt;&gt;""),G12*I12,0)</f>
        <v/>
      </c>
      <c r="W12" s="47">
        <f>IF(AND(J12="鋼筋",N12&lt;&gt;"",O12&lt;&gt;"",G12&lt;&gt;"",I12&lt;&gt;""),ROUNDUP(SQRT(G12)/$B$3,0)*2*SQRT(G12)/(O12/100)*I12,0)</f>
        <v/>
      </c>
      <c r="X12" s="47">
        <f>IF(AND(W12&gt;0,N12&lt;&gt;""),W12*VLOOKUP(N12,'1-專案資訊'!A25:I33,8,0)/100,0)</f>
        <v/>
      </c>
      <c r="Y12" s="47">
        <f>IF(OR(L12="#3 (D10)",L12="#4 (D13)",L12="#5 (D16)"),R12,0)+IF(OR(N12="#3 (D10)",N12="#4 (D13)",N12="#5 (D16)"),S12,0)</f>
        <v/>
      </c>
      <c r="Z12" s="47">
        <f>IF(AND(L12&lt;&gt;"",L12&lt;&gt;"#3 (D10)",L12&lt;&gt;"#4 (D13)",L12&lt;&gt;"#5 (D16)"),R12,0)+IF(AND(N12&lt;&gt;"",N12&lt;&gt;"#3 (D10)",N12&lt;&gt;"#4 (D13)",N12&lt;&gt;"#5 (D16)"),S12,0)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>
        <f>IF(AND(E13&lt;&gt;"",F13&lt;&gt;""),E13*F13/10000,"")</f>
        <v/>
      </c>
      <c r="H13" s="74" t="n"/>
      <c r="I13" s="70" t="n"/>
      <c r="J13" s="74" t="n"/>
      <c r="K13" s="70" t="n"/>
      <c r="L13" s="74" t="n"/>
      <c r="M13" s="75" t="n"/>
      <c r="N13" s="75" t="n"/>
      <c r="O13" s="75" t="n"/>
      <c r="P13" s="75" t="n"/>
      <c r="Q13" s="75">
        <f>IF(AND(G13&lt;&gt;"",H13&lt;&gt;"",I13&lt;&gt;""),G13*H13/100*I13,0)</f>
        <v/>
      </c>
      <c r="R13" s="75">
        <f>IF(AND(J13="鋼筋",K13=2,L13&lt;&gt;"",M13&lt;&gt;"",G13&lt;&gt;"",I13&lt;&gt;""),VLOOKUP(L13,'1-專案資訊'!A25:I33,4,0)/(M13/100)*2*1.15*G13*I13,0)</f>
        <v/>
      </c>
      <c r="S13" s="75">
        <f>IF(AND(J13="鋼筋",N13&lt;&gt;"",O13&lt;&gt;"",G13&lt;&gt;"",I13&lt;&gt;""),VLOOKUP(N13,'1-專案資訊'!A25:I33,4,0)/(O13/100)*2*1.15*G13*I13,0)</f>
        <v/>
      </c>
      <c r="T13" s="75">
        <f>IF(AND(J13="鋼絲網",P13&lt;&gt;"",G13&lt;&gt;"",I13&lt;&gt;""),VLOOKUP(P13,'1-專案資訊'!A38:B48,2,0)*G13*I13,0)</f>
        <v/>
      </c>
      <c r="U13" s="75">
        <f>IF(AND(G13&lt;&gt;"",I13&lt;&gt;""),G13*I13,0)</f>
        <v/>
      </c>
      <c r="V13" s="75">
        <f>IF(AND(G13&lt;&gt;"",I13&lt;&gt;""),G13*I13,0)</f>
        <v/>
      </c>
      <c r="W13" s="47">
        <f>IF(AND(J13="鋼筋",N13&lt;&gt;"",O13&lt;&gt;"",G13&lt;&gt;"",I13&lt;&gt;""),ROUNDUP(SQRT(G13)/$B$3,0)*2*SQRT(G13)/(O13/100)*I13,0)</f>
        <v/>
      </c>
      <c r="X13" s="47">
        <f>IF(AND(W13&gt;0,N13&lt;&gt;""),W13*VLOOKUP(N13,'1-專案資訊'!A25:I33,8,0)/100,0)</f>
        <v/>
      </c>
      <c r="Y13" s="47">
        <f>IF(OR(L13="#3 (D10)",L13="#4 (D13)",L13="#5 (D16)"),R13,0)+IF(OR(N13="#3 (D10)",N13="#4 (D13)",N13="#5 (D16)"),S13,0)</f>
        <v/>
      </c>
      <c r="Z13" s="47">
        <f>IF(AND(L13&lt;&gt;"",L13&lt;&gt;"#3 (D10)",L13&lt;&gt;"#4 (D13)",L13&lt;&gt;"#5 (D16)"),R13,0)+IF(AND(N13&lt;&gt;"",N13&lt;&gt;"#3 (D10)",N13&lt;&gt;"#4 (D13)",N13&lt;&gt;"#5 (D16)"),S13,0)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>
        <f>IF(AND(E14&lt;&gt;"",F14&lt;&gt;""),E14*F14/10000,"")</f>
        <v/>
      </c>
      <c r="H14" s="74" t="n"/>
      <c r="I14" s="70" t="n"/>
      <c r="J14" s="74" t="n"/>
      <c r="K14" s="70" t="n"/>
      <c r="L14" s="74" t="n"/>
      <c r="M14" s="75" t="n"/>
      <c r="N14" s="75" t="n"/>
      <c r="O14" s="75" t="n"/>
      <c r="P14" s="75" t="n"/>
      <c r="Q14" s="75">
        <f>IF(AND(G14&lt;&gt;"",H14&lt;&gt;"",I14&lt;&gt;""),G14*H14/100*I14,0)</f>
        <v/>
      </c>
      <c r="R14" s="75">
        <f>IF(AND(J14="鋼筋",K14=2,L14&lt;&gt;"",M14&lt;&gt;"",G14&lt;&gt;"",I14&lt;&gt;""),VLOOKUP(L14,'1-專案資訊'!A25:I33,4,0)/(M14/100)*2*1.15*G14*I14,0)</f>
        <v/>
      </c>
      <c r="S14" s="75">
        <f>IF(AND(J14="鋼筋",N14&lt;&gt;"",O14&lt;&gt;"",G14&lt;&gt;"",I14&lt;&gt;""),VLOOKUP(N14,'1-專案資訊'!A25:I33,4,0)/(O14/100)*2*1.15*G14*I14,0)</f>
        <v/>
      </c>
      <c r="T14" s="75">
        <f>IF(AND(J14="鋼絲網",P14&lt;&gt;"",G14&lt;&gt;"",I14&lt;&gt;""),VLOOKUP(P14,'1-專案資訊'!A38:B48,2,0)*G14*I14,0)</f>
        <v/>
      </c>
      <c r="U14" s="75">
        <f>IF(AND(G14&lt;&gt;"",I14&lt;&gt;""),G14*I14,0)</f>
        <v/>
      </c>
      <c r="V14" s="75">
        <f>IF(AND(G14&lt;&gt;"",I14&lt;&gt;""),G14*I14,0)</f>
        <v/>
      </c>
      <c r="W14" s="47">
        <f>IF(AND(J14="鋼筋",N14&lt;&gt;"",O14&lt;&gt;"",G14&lt;&gt;"",I14&lt;&gt;""),ROUNDUP(SQRT(G14)/$B$3,0)*2*SQRT(G14)/(O14/100)*I14,0)</f>
        <v/>
      </c>
      <c r="X14" s="47">
        <f>IF(AND(W14&gt;0,N14&lt;&gt;""),W14*VLOOKUP(N14,'1-專案資訊'!A25:I33,8,0)/100,0)</f>
        <v/>
      </c>
      <c r="Y14" s="47">
        <f>IF(OR(L14="#3 (D10)",L14="#4 (D13)",L14="#5 (D16)"),R14,0)+IF(OR(N14="#3 (D10)",N14="#4 (D13)",N14="#5 (D16)"),S14,0)</f>
        <v/>
      </c>
      <c r="Z14" s="47">
        <f>IF(AND(L14&lt;&gt;"",L14&lt;&gt;"#3 (D10)",L14&lt;&gt;"#4 (D13)",L14&lt;&gt;"#5 (D16)"),R14,0)+IF(AND(N14&lt;&gt;"",N14&lt;&gt;"#3 (D10)",N14&lt;&gt;"#4 (D13)",N14&lt;&gt;"#5 (D16)"),S14,0)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>
        <f>IF(AND(E15&lt;&gt;"",F15&lt;&gt;""),E15*F15/10000,"")</f>
        <v/>
      </c>
      <c r="H15" s="74" t="n"/>
      <c r="I15" s="70" t="n"/>
      <c r="J15" s="74" t="n"/>
      <c r="K15" s="70" t="n"/>
      <c r="L15" s="74" t="n"/>
      <c r="M15" s="75" t="n"/>
      <c r="N15" s="75" t="n"/>
      <c r="O15" s="75" t="n"/>
      <c r="P15" s="75" t="n"/>
      <c r="Q15" s="75">
        <f>IF(AND(G15&lt;&gt;"",H15&lt;&gt;"",I15&lt;&gt;""),G15*H15/100*I15,0)</f>
        <v/>
      </c>
      <c r="R15" s="75">
        <f>IF(AND(J15="鋼筋",K15=2,L15&lt;&gt;"",M15&lt;&gt;"",G15&lt;&gt;"",I15&lt;&gt;""),VLOOKUP(L15,'1-專案資訊'!A25:I33,4,0)/(M15/100)*2*1.15*G15*I15,0)</f>
        <v/>
      </c>
      <c r="S15" s="75">
        <f>IF(AND(J15="鋼筋",N15&lt;&gt;"",O15&lt;&gt;"",G15&lt;&gt;"",I15&lt;&gt;""),VLOOKUP(N15,'1-專案資訊'!A25:I33,4,0)/(O15/100)*2*1.15*G15*I15,0)</f>
        <v/>
      </c>
      <c r="T15" s="75">
        <f>IF(AND(J15="鋼絲網",P15&lt;&gt;"",G15&lt;&gt;"",I15&lt;&gt;""),VLOOKUP(P15,'1-專案資訊'!A38:B48,2,0)*G15*I15,0)</f>
        <v/>
      </c>
      <c r="U15" s="75">
        <f>IF(AND(G15&lt;&gt;"",I15&lt;&gt;""),G15*I15,0)</f>
        <v/>
      </c>
      <c r="V15" s="75">
        <f>IF(AND(G15&lt;&gt;"",I15&lt;&gt;""),G15*I15,0)</f>
        <v/>
      </c>
      <c r="W15" s="47">
        <f>IF(AND(J15="鋼筋",N15&lt;&gt;"",O15&lt;&gt;"",G15&lt;&gt;"",I15&lt;&gt;""),ROUNDUP(SQRT(G15)/$B$3,0)*2*SQRT(G15)/(O15/100)*I15,0)</f>
        <v/>
      </c>
      <c r="X15" s="47">
        <f>IF(AND(W15&gt;0,N15&lt;&gt;""),W15*VLOOKUP(N15,'1-專案資訊'!A25:I33,8,0)/100,0)</f>
        <v/>
      </c>
      <c r="Y15" s="47">
        <f>IF(OR(L15="#3 (D10)",L15="#4 (D13)",L15="#5 (D16)"),R15,0)+IF(OR(N15="#3 (D10)",N15="#4 (D13)",N15="#5 (D16)"),S15,0)</f>
        <v/>
      </c>
      <c r="Z15" s="47">
        <f>IF(AND(L15&lt;&gt;"",L15&lt;&gt;"#3 (D10)",L15&lt;&gt;"#4 (D13)",L15&lt;&gt;"#5 (D16)"),R15,0)+IF(AND(N15&lt;&gt;"",N15&lt;&gt;"#3 (D10)",N15&lt;&gt;"#4 (D13)",N15&lt;&gt;"#5 (D16)"),S15,0)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>
        <f>IF(AND(E16&lt;&gt;"",F16&lt;&gt;""),E16*F16/10000,"")</f>
        <v/>
      </c>
      <c r="H16" s="74" t="n"/>
      <c r="I16" s="70" t="n"/>
      <c r="J16" s="74" t="n"/>
      <c r="K16" s="70" t="n"/>
      <c r="L16" s="74" t="n"/>
      <c r="M16" s="75" t="n"/>
      <c r="N16" s="75" t="n"/>
      <c r="O16" s="75" t="n"/>
      <c r="P16" s="75" t="n"/>
      <c r="Q16" s="75">
        <f>IF(AND(G16&lt;&gt;"",H16&lt;&gt;"",I16&lt;&gt;""),G16*H16/100*I16,0)</f>
        <v/>
      </c>
      <c r="R16" s="75">
        <f>IF(AND(J16="鋼筋",K16=2,L16&lt;&gt;"",M16&lt;&gt;"",G16&lt;&gt;"",I16&lt;&gt;""),VLOOKUP(L16,'1-專案資訊'!A25:I33,4,0)/(M16/100)*2*1.15*G16*I16,0)</f>
        <v/>
      </c>
      <c r="S16" s="75">
        <f>IF(AND(J16="鋼筋",N16&lt;&gt;"",O16&lt;&gt;"",G16&lt;&gt;"",I16&lt;&gt;""),VLOOKUP(N16,'1-專案資訊'!A25:I33,4,0)/(O16/100)*2*1.15*G16*I16,0)</f>
        <v/>
      </c>
      <c r="T16" s="75">
        <f>IF(AND(J16="鋼絲網",P16&lt;&gt;"",G16&lt;&gt;"",I16&lt;&gt;""),VLOOKUP(P16,'1-專案資訊'!A38:B48,2,0)*G16*I16,0)</f>
        <v/>
      </c>
      <c r="U16" s="75">
        <f>IF(AND(G16&lt;&gt;"",I16&lt;&gt;""),G16*I16,0)</f>
        <v/>
      </c>
      <c r="V16" s="75">
        <f>IF(AND(G16&lt;&gt;"",I16&lt;&gt;""),G16*I16,0)</f>
        <v/>
      </c>
      <c r="W16" s="47">
        <f>IF(AND(J16="鋼筋",N16&lt;&gt;"",O16&lt;&gt;"",G16&lt;&gt;"",I16&lt;&gt;""),ROUNDUP(SQRT(G16)/$B$3,0)*2*SQRT(G16)/(O16/100)*I16,0)</f>
        <v/>
      </c>
      <c r="X16" s="47">
        <f>IF(AND(W16&gt;0,N16&lt;&gt;""),W16*VLOOKUP(N16,'1-專案資訊'!A25:I33,8,0)/100,0)</f>
        <v/>
      </c>
      <c r="Y16" s="47">
        <f>IF(OR(L16="#3 (D10)",L16="#4 (D13)",L16="#5 (D16)"),R16,0)+IF(OR(N16="#3 (D10)",N16="#4 (D13)",N16="#5 (D16)"),S16,0)</f>
        <v/>
      </c>
      <c r="Z16" s="47">
        <f>IF(AND(L16&lt;&gt;"",L16&lt;&gt;"#3 (D10)",L16&lt;&gt;"#4 (D13)",L16&lt;&gt;"#5 (D16)"),R16,0)+IF(AND(N16&lt;&gt;"",N16&lt;&gt;"#3 (D10)",N16&lt;&gt;"#4 (D13)",N16&lt;&gt;"#5 (D16)"),S16,0)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>
        <f>IF(AND(E17&lt;&gt;"",F17&lt;&gt;""),E17*F17/10000,"")</f>
        <v/>
      </c>
      <c r="H17" s="74" t="n"/>
      <c r="I17" s="70" t="n"/>
      <c r="J17" s="74" t="n"/>
      <c r="K17" s="70" t="n"/>
      <c r="L17" s="74" t="n"/>
      <c r="M17" s="75" t="n"/>
      <c r="N17" s="75" t="n"/>
      <c r="O17" s="75" t="n"/>
      <c r="P17" s="75" t="n"/>
      <c r="Q17" s="75">
        <f>IF(AND(G17&lt;&gt;"",H17&lt;&gt;"",I17&lt;&gt;""),G17*H17/100*I17,0)</f>
        <v/>
      </c>
      <c r="R17" s="75">
        <f>IF(AND(J17="鋼筋",K17=2,L17&lt;&gt;"",M17&lt;&gt;"",G17&lt;&gt;"",I17&lt;&gt;""),VLOOKUP(L17,'1-專案資訊'!A25:I33,4,0)/(M17/100)*2*1.15*G17*I17,0)</f>
        <v/>
      </c>
      <c r="S17" s="75">
        <f>IF(AND(J17="鋼筋",N17&lt;&gt;"",O17&lt;&gt;"",G17&lt;&gt;"",I17&lt;&gt;""),VLOOKUP(N17,'1-專案資訊'!A25:I33,4,0)/(O17/100)*2*1.15*G17*I17,0)</f>
        <v/>
      </c>
      <c r="T17" s="75">
        <f>IF(AND(J17="鋼絲網",P17&lt;&gt;"",G17&lt;&gt;"",I17&lt;&gt;""),VLOOKUP(P17,'1-專案資訊'!A38:B48,2,0)*G17*I17,0)</f>
        <v/>
      </c>
      <c r="U17" s="75">
        <f>IF(AND(G17&lt;&gt;"",I17&lt;&gt;""),G17*I17,0)</f>
        <v/>
      </c>
      <c r="V17" s="75">
        <f>IF(AND(G17&lt;&gt;"",I17&lt;&gt;""),G17*I17,0)</f>
        <v/>
      </c>
      <c r="W17" s="47">
        <f>IF(AND(J17="鋼筋",N17&lt;&gt;"",O17&lt;&gt;"",G17&lt;&gt;"",I17&lt;&gt;""),ROUNDUP(SQRT(G17)/$B$3,0)*2*SQRT(G17)/(O17/100)*I17,0)</f>
        <v/>
      </c>
      <c r="X17" s="47">
        <f>IF(AND(W17&gt;0,N17&lt;&gt;""),W17*VLOOKUP(N17,'1-專案資訊'!A25:I33,8,0)/100,0)</f>
        <v/>
      </c>
      <c r="Y17" s="47">
        <f>IF(OR(L17="#3 (D10)",L17="#4 (D13)",L17="#5 (D16)"),R17,0)+IF(OR(N17="#3 (D10)",N17="#4 (D13)",N17="#5 (D16)"),S17,0)</f>
        <v/>
      </c>
      <c r="Z17" s="47">
        <f>IF(AND(L17&lt;&gt;"",L17&lt;&gt;"#3 (D10)",L17&lt;&gt;"#4 (D13)",L17&lt;&gt;"#5 (D16)"),R17,0)+IF(AND(N17&lt;&gt;"",N17&lt;&gt;"#3 (D10)",N17&lt;&gt;"#4 (D13)",N17&lt;&gt;"#5 (D16)"),S17,0)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>
        <f>IF(AND(E18&lt;&gt;"",F18&lt;&gt;""),E18*F18/10000,"")</f>
        <v/>
      </c>
      <c r="H18" s="74" t="n"/>
      <c r="I18" s="70" t="n"/>
      <c r="J18" s="74" t="n"/>
      <c r="K18" s="70" t="n"/>
      <c r="L18" s="74" t="n"/>
      <c r="M18" s="75" t="n"/>
      <c r="N18" s="75" t="n"/>
      <c r="O18" s="75" t="n"/>
      <c r="P18" s="75" t="n"/>
      <c r="Q18" s="75">
        <f>IF(AND(G18&lt;&gt;"",H18&lt;&gt;"",I18&lt;&gt;""),G18*H18/100*I18,0)</f>
        <v/>
      </c>
      <c r="R18" s="75">
        <f>IF(AND(J18="鋼筋",K18=2,L18&lt;&gt;"",M18&lt;&gt;"",G18&lt;&gt;"",I18&lt;&gt;""),VLOOKUP(L18,'1-專案資訊'!A25:I33,4,0)/(M18/100)*2*1.15*G18*I18,0)</f>
        <v/>
      </c>
      <c r="S18" s="75">
        <f>IF(AND(J18="鋼筋",N18&lt;&gt;"",O18&lt;&gt;"",G18&lt;&gt;"",I18&lt;&gt;""),VLOOKUP(N18,'1-專案資訊'!A25:I33,4,0)/(O18/100)*2*1.15*G18*I18,0)</f>
        <v/>
      </c>
      <c r="T18" s="75">
        <f>IF(AND(J18="鋼絲網",P18&lt;&gt;"",G18&lt;&gt;"",I18&lt;&gt;""),VLOOKUP(P18,'1-專案資訊'!A38:B48,2,0)*G18*I18,0)</f>
        <v/>
      </c>
      <c r="U18" s="75">
        <f>IF(AND(G18&lt;&gt;"",I18&lt;&gt;""),G18*I18,0)</f>
        <v/>
      </c>
      <c r="V18" s="75">
        <f>IF(AND(G18&lt;&gt;"",I18&lt;&gt;""),G18*I18,0)</f>
        <v/>
      </c>
      <c r="W18" s="47">
        <f>IF(AND(J18="鋼筋",N18&lt;&gt;"",O18&lt;&gt;"",G18&lt;&gt;"",I18&lt;&gt;""),ROUNDUP(SQRT(G18)/$B$3,0)*2*SQRT(G18)/(O18/100)*I18,0)</f>
        <v/>
      </c>
      <c r="X18" s="47">
        <f>IF(AND(W18&gt;0,N18&lt;&gt;""),W18*VLOOKUP(N18,'1-專案資訊'!A25:I33,8,0)/100,0)</f>
        <v/>
      </c>
      <c r="Y18" s="47">
        <f>IF(OR(L18="#3 (D10)",L18="#4 (D13)",L18="#5 (D16)"),R18,0)+IF(OR(N18="#3 (D10)",N18="#4 (D13)",N18="#5 (D16)"),S18,0)</f>
        <v/>
      </c>
      <c r="Z18" s="47">
        <f>IF(AND(L18&lt;&gt;"",L18&lt;&gt;"#3 (D10)",L18&lt;&gt;"#4 (D13)",L18&lt;&gt;"#5 (D16)"),R18,0)+IF(AND(N18&lt;&gt;"",N18&lt;&gt;"#3 (D10)",N18&lt;&gt;"#4 (D13)",N18&lt;&gt;"#5 (D16)"),S18,0)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>
        <f>IF(AND(E19&lt;&gt;"",F19&lt;&gt;""),E19*F19/10000,"")</f>
        <v/>
      </c>
      <c r="H19" s="74" t="n"/>
      <c r="I19" s="70" t="n"/>
      <c r="J19" s="74" t="n"/>
      <c r="K19" s="70" t="n"/>
      <c r="L19" s="74" t="n"/>
      <c r="M19" s="75" t="n"/>
      <c r="N19" s="75" t="n"/>
      <c r="O19" s="75" t="n"/>
      <c r="P19" s="75" t="n"/>
      <c r="Q19" s="75">
        <f>IF(AND(G19&lt;&gt;"",H19&lt;&gt;"",I19&lt;&gt;""),G19*H19/100*I19,0)</f>
        <v/>
      </c>
      <c r="R19" s="75">
        <f>IF(AND(J19="鋼筋",K19=2,L19&lt;&gt;"",M19&lt;&gt;"",G19&lt;&gt;"",I19&lt;&gt;""),VLOOKUP(L19,'1-專案資訊'!A25:I33,4,0)/(M19/100)*2*1.15*G19*I19,0)</f>
        <v/>
      </c>
      <c r="S19" s="75">
        <f>IF(AND(J19="鋼筋",N19&lt;&gt;"",O19&lt;&gt;"",G19&lt;&gt;"",I19&lt;&gt;""),VLOOKUP(N19,'1-專案資訊'!A25:I33,4,0)/(O19/100)*2*1.15*G19*I19,0)</f>
        <v/>
      </c>
      <c r="T19" s="75">
        <f>IF(AND(J19="鋼絲網",P19&lt;&gt;"",G19&lt;&gt;"",I19&lt;&gt;""),VLOOKUP(P19,'1-專案資訊'!A38:B48,2,0)*G19*I19,0)</f>
        <v/>
      </c>
      <c r="U19" s="75">
        <f>IF(AND(G19&lt;&gt;"",I19&lt;&gt;""),G19*I19,0)</f>
        <v/>
      </c>
      <c r="V19" s="75">
        <f>IF(AND(G19&lt;&gt;"",I19&lt;&gt;""),G19*I19,0)</f>
        <v/>
      </c>
      <c r="W19" s="47">
        <f>IF(AND(J19="鋼筋",N19&lt;&gt;"",O19&lt;&gt;"",G19&lt;&gt;"",I19&lt;&gt;""),ROUNDUP(SQRT(G19)/$B$3,0)*2*SQRT(G19)/(O19/100)*I19,0)</f>
        <v/>
      </c>
      <c r="X19" s="47">
        <f>IF(AND(W19&gt;0,N19&lt;&gt;""),W19*VLOOKUP(N19,'1-專案資訊'!A25:I33,8,0)/100,0)</f>
        <v/>
      </c>
      <c r="Y19" s="47">
        <f>IF(OR(L19="#3 (D10)",L19="#4 (D13)",L19="#5 (D16)"),R19,0)+IF(OR(N19="#3 (D10)",N19="#4 (D13)",N19="#5 (D16)"),S19,0)</f>
        <v/>
      </c>
      <c r="Z19" s="47">
        <f>IF(AND(L19&lt;&gt;"",L19&lt;&gt;"#3 (D10)",L19&lt;&gt;"#4 (D13)",L19&lt;&gt;"#5 (D16)"),R19,0)+IF(AND(N19&lt;&gt;"",N19&lt;&gt;"#3 (D10)",N19&lt;&gt;"#4 (D13)",N19&lt;&gt;"#5 (D16)"),S19,0)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>
        <f>IF(AND(E20&lt;&gt;"",F20&lt;&gt;""),E20*F20/10000,"")</f>
        <v/>
      </c>
      <c r="H20" s="74" t="n"/>
      <c r="I20" s="70" t="n"/>
      <c r="J20" s="74" t="n"/>
      <c r="K20" s="70" t="n"/>
      <c r="L20" s="74" t="n"/>
      <c r="M20" s="75" t="n"/>
      <c r="N20" s="75" t="n"/>
      <c r="O20" s="75" t="n"/>
      <c r="P20" s="75" t="n"/>
      <c r="Q20" s="75">
        <f>IF(AND(G20&lt;&gt;"",H20&lt;&gt;"",I20&lt;&gt;""),G20*H20/100*I20,0)</f>
        <v/>
      </c>
      <c r="R20" s="75">
        <f>IF(AND(J20="鋼筋",K20=2,L20&lt;&gt;"",M20&lt;&gt;"",G20&lt;&gt;"",I20&lt;&gt;""),VLOOKUP(L20,'1-專案資訊'!A25:I33,4,0)/(M20/100)*2*1.15*G20*I20,0)</f>
        <v/>
      </c>
      <c r="S20" s="75">
        <f>IF(AND(J20="鋼筋",N20&lt;&gt;"",O20&lt;&gt;"",G20&lt;&gt;"",I20&lt;&gt;""),VLOOKUP(N20,'1-專案資訊'!A25:I33,4,0)/(O20/100)*2*1.15*G20*I20,0)</f>
        <v/>
      </c>
      <c r="T20" s="75">
        <f>IF(AND(J20="鋼絲網",P20&lt;&gt;"",G20&lt;&gt;"",I20&lt;&gt;""),VLOOKUP(P20,'1-專案資訊'!A38:B48,2,0)*G20*I20,0)</f>
        <v/>
      </c>
      <c r="U20" s="75">
        <f>IF(AND(G20&lt;&gt;"",I20&lt;&gt;""),G20*I20,0)</f>
        <v/>
      </c>
      <c r="V20" s="75">
        <f>IF(AND(G20&lt;&gt;"",I20&lt;&gt;""),G20*I20,0)</f>
        <v/>
      </c>
      <c r="W20" s="47">
        <f>IF(AND(J20="鋼筋",N20&lt;&gt;"",O20&lt;&gt;"",G20&lt;&gt;"",I20&lt;&gt;""),ROUNDUP(SQRT(G20)/$B$3,0)*2*SQRT(G20)/(O20/100)*I20,0)</f>
        <v/>
      </c>
      <c r="X20" s="47">
        <f>IF(AND(W20&gt;0,N20&lt;&gt;""),W20*VLOOKUP(N20,'1-專案資訊'!A25:I33,8,0)/100,0)</f>
        <v/>
      </c>
      <c r="Y20" s="47">
        <f>IF(OR(L20="#3 (D10)",L20="#4 (D13)",L20="#5 (D16)"),R20,0)+IF(OR(N20="#3 (D10)",N20="#4 (D13)",N20="#5 (D16)"),S20,0)</f>
        <v/>
      </c>
      <c r="Z20" s="47">
        <f>IF(AND(L20&lt;&gt;"",L20&lt;&gt;"#3 (D10)",L20&lt;&gt;"#4 (D13)",L20&lt;&gt;"#5 (D16)"),R20,0)+IF(AND(N20&lt;&gt;"",N20&lt;&gt;"#3 (D10)",N20&lt;&gt;"#4 (D13)",N20&lt;&gt;"#5 (D16)"),S20,0)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>
        <f>IF(AND(E21&lt;&gt;"",F21&lt;&gt;""),E21*F21/10000,"")</f>
        <v/>
      </c>
      <c r="H21" s="74" t="n"/>
      <c r="I21" s="70" t="n"/>
      <c r="J21" s="74" t="n"/>
      <c r="K21" s="70" t="n"/>
      <c r="L21" s="74" t="n"/>
      <c r="M21" s="75" t="n"/>
      <c r="N21" s="75" t="n"/>
      <c r="O21" s="75" t="n"/>
      <c r="P21" s="75" t="n"/>
      <c r="Q21" s="75">
        <f>IF(AND(G21&lt;&gt;"",H21&lt;&gt;"",I21&lt;&gt;""),G21*H21/100*I21,0)</f>
        <v/>
      </c>
      <c r="R21" s="75">
        <f>IF(AND(J21="鋼筋",K21=2,L21&lt;&gt;"",M21&lt;&gt;"",G21&lt;&gt;"",I21&lt;&gt;""),VLOOKUP(L21,'1-專案資訊'!A25:I33,4,0)/(M21/100)*2*1.15*G21*I21,0)</f>
        <v/>
      </c>
      <c r="S21" s="75">
        <f>IF(AND(J21="鋼筋",N21&lt;&gt;"",O21&lt;&gt;"",G21&lt;&gt;"",I21&lt;&gt;""),VLOOKUP(N21,'1-專案資訊'!A25:I33,4,0)/(O21/100)*2*1.15*G21*I21,0)</f>
        <v/>
      </c>
      <c r="T21" s="75">
        <f>IF(AND(J21="鋼絲網",P21&lt;&gt;"",G21&lt;&gt;"",I21&lt;&gt;""),VLOOKUP(P21,'1-專案資訊'!A38:B48,2,0)*G21*I21,0)</f>
        <v/>
      </c>
      <c r="U21" s="75">
        <f>IF(AND(G21&lt;&gt;"",I21&lt;&gt;""),G21*I21,0)</f>
        <v/>
      </c>
      <c r="V21" s="75">
        <f>IF(AND(G21&lt;&gt;"",I21&lt;&gt;""),G21*I21,0)</f>
        <v/>
      </c>
      <c r="W21" s="47">
        <f>IF(AND(J21="鋼筋",N21&lt;&gt;"",O21&lt;&gt;"",G21&lt;&gt;"",I21&lt;&gt;""),ROUNDUP(SQRT(G21)/$B$3,0)*2*SQRT(G21)/(O21/100)*I21,0)</f>
        <v/>
      </c>
      <c r="X21" s="47">
        <f>IF(AND(W21&gt;0,N21&lt;&gt;""),W21*VLOOKUP(N21,'1-專案資訊'!A25:I33,8,0)/100,0)</f>
        <v/>
      </c>
      <c r="Y21" s="47">
        <f>IF(OR(L21="#3 (D10)",L21="#4 (D13)",L21="#5 (D16)"),R21,0)+IF(OR(N21="#3 (D10)",N21="#4 (D13)",N21="#5 (D16)"),S21,0)</f>
        <v/>
      </c>
      <c r="Z21" s="47">
        <f>IF(AND(L21&lt;&gt;"",L21&lt;&gt;"#3 (D10)",L21&lt;&gt;"#4 (D13)",L21&lt;&gt;"#5 (D16)"),R21,0)+IF(AND(N21&lt;&gt;"",N21&lt;&gt;"#3 (D10)",N21&lt;&gt;"#4 (D13)",N21&lt;&gt;"#5 (D16)"),S21,0)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>
        <f>IF(AND(E22&lt;&gt;"",F22&lt;&gt;""),E22*F22/10000,"")</f>
        <v/>
      </c>
      <c r="H22" s="74" t="n"/>
      <c r="I22" s="70" t="n"/>
      <c r="J22" s="74" t="n"/>
      <c r="K22" s="70" t="n"/>
      <c r="L22" s="74" t="n"/>
      <c r="M22" s="75" t="n"/>
      <c r="N22" s="75" t="n"/>
      <c r="O22" s="75" t="n"/>
      <c r="P22" s="75" t="n"/>
      <c r="Q22" s="75">
        <f>IF(AND(G22&lt;&gt;"",H22&lt;&gt;"",I22&lt;&gt;""),G22*H22/100*I22,0)</f>
        <v/>
      </c>
      <c r="R22" s="75">
        <f>IF(AND(J22="鋼筋",K22=2,L22&lt;&gt;"",M22&lt;&gt;"",G22&lt;&gt;"",I22&lt;&gt;""),VLOOKUP(L22,'1-專案資訊'!A25:I33,4,0)/(M22/100)*2*1.15*G22*I22,0)</f>
        <v/>
      </c>
      <c r="S22" s="75">
        <f>IF(AND(J22="鋼筋",N22&lt;&gt;"",O22&lt;&gt;"",G22&lt;&gt;"",I22&lt;&gt;""),VLOOKUP(N22,'1-專案資訊'!A25:I33,4,0)/(O22/100)*2*1.15*G22*I22,0)</f>
        <v/>
      </c>
      <c r="T22" s="75">
        <f>IF(AND(J22="鋼絲網",P22&lt;&gt;"",G22&lt;&gt;"",I22&lt;&gt;""),VLOOKUP(P22,'1-專案資訊'!A38:B48,2,0)*G22*I22,0)</f>
        <v/>
      </c>
      <c r="U22" s="75">
        <f>IF(AND(G22&lt;&gt;"",I22&lt;&gt;""),G22*I22,0)</f>
        <v/>
      </c>
      <c r="V22" s="75">
        <f>IF(AND(G22&lt;&gt;"",I22&lt;&gt;""),G22*I22,0)</f>
        <v/>
      </c>
      <c r="W22" s="47">
        <f>IF(AND(J22="鋼筋",N22&lt;&gt;"",O22&lt;&gt;"",G22&lt;&gt;"",I22&lt;&gt;""),ROUNDUP(SQRT(G22)/$B$3,0)*2*SQRT(G22)/(O22/100)*I22,0)</f>
        <v/>
      </c>
      <c r="X22" s="47">
        <f>IF(AND(W22&gt;0,N22&lt;&gt;""),W22*VLOOKUP(N22,'1-專案資訊'!A25:I33,8,0)/100,0)</f>
        <v/>
      </c>
      <c r="Y22" s="47">
        <f>IF(OR(L22="#3 (D10)",L22="#4 (D13)",L22="#5 (D16)"),R22,0)+IF(OR(N22="#3 (D10)",N22="#4 (D13)",N22="#5 (D16)"),S22,0)</f>
        <v/>
      </c>
      <c r="Z22" s="47">
        <f>IF(AND(L22&lt;&gt;"",L22&lt;&gt;"#3 (D10)",L22&lt;&gt;"#4 (D13)",L22&lt;&gt;"#5 (D16)"),R22,0)+IF(AND(N22&lt;&gt;"",N22&lt;&gt;"#3 (D10)",N22&lt;&gt;"#4 (D13)",N22&lt;&gt;"#5 (D16)"),S22,0)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>
        <f>IF(AND(E23&lt;&gt;"",F23&lt;&gt;""),E23*F23/10000,"")</f>
        <v/>
      </c>
      <c r="H23" s="74" t="n"/>
      <c r="I23" s="70" t="n"/>
      <c r="J23" s="74" t="n"/>
      <c r="K23" s="70" t="n"/>
      <c r="L23" s="74" t="n"/>
      <c r="M23" s="75" t="n"/>
      <c r="N23" s="75" t="n"/>
      <c r="O23" s="75" t="n"/>
      <c r="P23" s="75" t="n"/>
      <c r="Q23" s="75">
        <f>IF(AND(G23&lt;&gt;"",H23&lt;&gt;"",I23&lt;&gt;""),G23*H23/100*I23,0)</f>
        <v/>
      </c>
      <c r="R23" s="75">
        <f>IF(AND(J23="鋼筋",K23=2,L23&lt;&gt;"",M23&lt;&gt;"",G23&lt;&gt;"",I23&lt;&gt;""),VLOOKUP(L23,'1-專案資訊'!A25:I33,4,0)/(M23/100)*2*1.15*G23*I23,0)</f>
        <v/>
      </c>
      <c r="S23" s="75">
        <f>IF(AND(J23="鋼筋",N23&lt;&gt;"",O23&lt;&gt;"",G23&lt;&gt;"",I23&lt;&gt;""),VLOOKUP(N23,'1-專案資訊'!A25:I33,4,0)/(O23/100)*2*1.15*G23*I23,0)</f>
        <v/>
      </c>
      <c r="T23" s="75">
        <f>IF(AND(J23="鋼絲網",P23&lt;&gt;"",G23&lt;&gt;"",I23&lt;&gt;""),VLOOKUP(P23,'1-專案資訊'!A38:B48,2,0)*G23*I23,0)</f>
        <v/>
      </c>
      <c r="U23" s="75">
        <f>IF(AND(G23&lt;&gt;"",I23&lt;&gt;""),G23*I23,0)</f>
        <v/>
      </c>
      <c r="V23" s="75">
        <f>IF(AND(G23&lt;&gt;"",I23&lt;&gt;""),G23*I23,0)</f>
        <v/>
      </c>
      <c r="W23" s="47">
        <f>IF(AND(J23="鋼筋",N23&lt;&gt;"",O23&lt;&gt;"",G23&lt;&gt;"",I23&lt;&gt;""),ROUNDUP(SQRT(G23)/$B$3,0)*2*SQRT(G23)/(O23/100)*I23,0)</f>
        <v/>
      </c>
      <c r="X23" s="47">
        <f>IF(AND(W23&gt;0,N23&lt;&gt;""),W23*VLOOKUP(N23,'1-專案資訊'!A25:I33,8,0)/100,0)</f>
        <v/>
      </c>
      <c r="Y23" s="47">
        <f>IF(OR(L23="#3 (D10)",L23="#4 (D13)",L23="#5 (D16)"),R23,0)+IF(OR(N23="#3 (D10)",N23="#4 (D13)",N23="#5 (D16)"),S23,0)</f>
        <v/>
      </c>
      <c r="Z23" s="47">
        <f>IF(AND(L23&lt;&gt;"",L23&lt;&gt;"#3 (D10)",L23&lt;&gt;"#4 (D13)",L23&lt;&gt;"#5 (D16)"),R23,0)+IF(AND(N23&lt;&gt;"",N23&lt;&gt;"#3 (D10)",N23&lt;&gt;"#4 (D13)",N23&lt;&gt;"#5 (D16)"),S23,0)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>
        <f>IF(AND(E24&lt;&gt;"",F24&lt;&gt;""),E24*F24/10000,"")</f>
        <v/>
      </c>
      <c r="H24" s="74" t="n"/>
      <c r="I24" s="70" t="n"/>
      <c r="J24" s="74" t="n"/>
      <c r="K24" s="70" t="n"/>
      <c r="L24" s="74" t="n"/>
      <c r="M24" s="75" t="n"/>
      <c r="N24" s="75" t="n"/>
      <c r="O24" s="75" t="n"/>
      <c r="P24" s="75" t="n"/>
      <c r="Q24" s="75">
        <f>IF(AND(G24&lt;&gt;"",H24&lt;&gt;"",I24&lt;&gt;""),G24*H24/100*I24,0)</f>
        <v/>
      </c>
      <c r="R24" s="75">
        <f>IF(AND(J24="鋼筋",K24=2,L24&lt;&gt;"",M24&lt;&gt;"",G24&lt;&gt;"",I24&lt;&gt;""),VLOOKUP(L24,'1-專案資訊'!A25:I33,4,0)/(M24/100)*2*1.15*G24*I24,0)</f>
        <v/>
      </c>
      <c r="S24" s="75">
        <f>IF(AND(J24="鋼筋",N24&lt;&gt;"",O24&lt;&gt;"",G24&lt;&gt;"",I24&lt;&gt;""),VLOOKUP(N24,'1-專案資訊'!A25:I33,4,0)/(O24/100)*2*1.15*G24*I24,0)</f>
        <v/>
      </c>
      <c r="T24" s="75">
        <f>IF(AND(J24="鋼絲網",P24&lt;&gt;"",G24&lt;&gt;"",I24&lt;&gt;""),VLOOKUP(P24,'1-專案資訊'!A38:B48,2,0)*G24*I24,0)</f>
        <v/>
      </c>
      <c r="U24" s="75">
        <f>IF(AND(G24&lt;&gt;"",I24&lt;&gt;""),G24*I24,0)</f>
        <v/>
      </c>
      <c r="V24" s="75">
        <f>IF(AND(G24&lt;&gt;"",I24&lt;&gt;""),G24*I24,0)</f>
        <v/>
      </c>
      <c r="W24" s="47">
        <f>IF(AND(J24="鋼筋",N24&lt;&gt;"",O24&lt;&gt;"",G24&lt;&gt;"",I24&lt;&gt;""),ROUNDUP(SQRT(G24)/$B$3,0)*2*SQRT(G24)/(O24/100)*I24,0)</f>
        <v/>
      </c>
      <c r="X24" s="47">
        <f>IF(AND(W24&gt;0,N24&lt;&gt;""),W24*VLOOKUP(N24,'1-專案資訊'!A25:I33,8,0)/100,0)</f>
        <v/>
      </c>
      <c r="Y24" s="47">
        <f>IF(OR(L24="#3 (D10)",L24="#4 (D13)",L24="#5 (D16)"),R24,0)+IF(OR(N24="#3 (D10)",N24="#4 (D13)",N24="#5 (D16)"),S24,0)</f>
        <v/>
      </c>
      <c r="Z24" s="47">
        <f>IF(AND(L24&lt;&gt;"",L24&lt;&gt;"#3 (D10)",L24&lt;&gt;"#4 (D13)",L24&lt;&gt;"#5 (D16)"),R24,0)+IF(AND(N24&lt;&gt;"",N24&lt;&gt;"#3 (D10)",N24&lt;&gt;"#4 (D13)",N24&lt;&gt;"#5 (D16)"),S24,0)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>
        <f>IF(AND(E25&lt;&gt;"",F25&lt;&gt;""),E25*F25/10000,"")</f>
        <v/>
      </c>
      <c r="H25" s="74" t="n"/>
      <c r="I25" s="70" t="n"/>
      <c r="J25" s="74" t="n"/>
      <c r="K25" s="70" t="n"/>
      <c r="L25" s="74" t="n"/>
      <c r="M25" s="75" t="n"/>
      <c r="N25" s="75" t="n"/>
      <c r="O25" s="75" t="n"/>
      <c r="P25" s="75" t="n"/>
      <c r="Q25" s="75">
        <f>IF(AND(G25&lt;&gt;"",H25&lt;&gt;"",I25&lt;&gt;""),G25*H25/100*I25,0)</f>
        <v/>
      </c>
      <c r="R25" s="75">
        <f>IF(AND(J25="鋼筋",K25=2,L25&lt;&gt;"",M25&lt;&gt;"",G25&lt;&gt;"",I25&lt;&gt;""),VLOOKUP(L25,'1-專案資訊'!A25:I33,4,0)/(M25/100)*2*1.15*G25*I25,0)</f>
        <v/>
      </c>
      <c r="S25" s="75">
        <f>IF(AND(J25="鋼筋",N25&lt;&gt;"",O25&lt;&gt;"",G25&lt;&gt;"",I25&lt;&gt;""),VLOOKUP(N25,'1-專案資訊'!A25:I33,4,0)/(O25/100)*2*1.15*G25*I25,0)</f>
        <v/>
      </c>
      <c r="T25" s="75">
        <f>IF(AND(J25="鋼絲網",P25&lt;&gt;"",G25&lt;&gt;"",I25&lt;&gt;""),VLOOKUP(P25,'1-專案資訊'!A38:B48,2,0)*G25*I25,0)</f>
        <v/>
      </c>
      <c r="U25" s="75">
        <f>IF(AND(G25&lt;&gt;"",I25&lt;&gt;""),G25*I25,0)</f>
        <v/>
      </c>
      <c r="V25" s="75">
        <f>IF(AND(G25&lt;&gt;"",I25&lt;&gt;""),G25*I25,0)</f>
        <v/>
      </c>
      <c r="W25" s="47">
        <f>IF(AND(J25="鋼筋",N25&lt;&gt;"",O25&lt;&gt;"",G25&lt;&gt;"",I25&lt;&gt;""),ROUNDUP(SQRT(G25)/$B$3,0)*2*SQRT(G25)/(O25/100)*I25,0)</f>
        <v/>
      </c>
      <c r="X25" s="47">
        <f>IF(AND(W25&gt;0,N25&lt;&gt;""),W25*VLOOKUP(N25,'1-專案資訊'!A25:I33,8,0)/100,0)</f>
        <v/>
      </c>
      <c r="Y25" s="47">
        <f>IF(OR(L25="#3 (D10)",L25="#4 (D13)",L25="#5 (D16)"),R25,0)+IF(OR(N25="#3 (D10)",N25="#4 (D13)",N25="#5 (D16)"),S25,0)</f>
        <v/>
      </c>
      <c r="Z25" s="47">
        <f>IF(AND(L25&lt;&gt;"",L25&lt;&gt;"#3 (D10)",L25&lt;&gt;"#4 (D13)",L25&lt;&gt;"#5 (D16)"),R25,0)+IF(AND(N25&lt;&gt;"",N25&lt;&gt;"#3 (D10)",N25&lt;&gt;"#4 (D13)",N25&lt;&gt;"#5 (D16)"),S25,0)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>
        <f>IF(AND(E26&lt;&gt;"",F26&lt;&gt;""),E26*F26/10000,"")</f>
        <v/>
      </c>
      <c r="H26" s="74" t="n"/>
      <c r="I26" s="70" t="n"/>
      <c r="J26" s="74" t="n"/>
      <c r="K26" s="70" t="n"/>
      <c r="L26" s="74" t="n"/>
      <c r="M26" s="75" t="n"/>
      <c r="N26" s="75" t="n"/>
      <c r="O26" s="75" t="n"/>
      <c r="P26" s="75" t="n"/>
      <c r="Q26" s="75">
        <f>IF(AND(G26&lt;&gt;"",H26&lt;&gt;"",I26&lt;&gt;""),G26*H26/100*I26,0)</f>
        <v/>
      </c>
      <c r="R26" s="75">
        <f>IF(AND(J26="鋼筋",K26=2,L26&lt;&gt;"",M26&lt;&gt;"",G26&lt;&gt;"",I26&lt;&gt;""),VLOOKUP(L26,'1-專案資訊'!A25:I33,4,0)/(M26/100)*2*1.15*G26*I26,0)</f>
        <v/>
      </c>
      <c r="S26" s="75">
        <f>IF(AND(J26="鋼筋",N26&lt;&gt;"",O26&lt;&gt;"",G26&lt;&gt;"",I26&lt;&gt;""),VLOOKUP(N26,'1-專案資訊'!A25:I33,4,0)/(O26/100)*2*1.15*G26*I26,0)</f>
        <v/>
      </c>
      <c r="T26" s="75">
        <f>IF(AND(J26="鋼絲網",P26&lt;&gt;"",G26&lt;&gt;"",I26&lt;&gt;""),VLOOKUP(P26,'1-專案資訊'!A38:B48,2,0)*G26*I26,0)</f>
        <v/>
      </c>
      <c r="U26" s="75">
        <f>IF(AND(G26&lt;&gt;"",I26&lt;&gt;""),G26*I26,0)</f>
        <v/>
      </c>
      <c r="V26" s="75">
        <f>IF(AND(G26&lt;&gt;"",I26&lt;&gt;""),G26*I26,0)</f>
        <v/>
      </c>
      <c r="W26" s="47">
        <f>IF(AND(J26="鋼筋",N26&lt;&gt;"",O26&lt;&gt;"",G26&lt;&gt;"",I26&lt;&gt;""),ROUNDUP(SQRT(G26)/$B$3,0)*2*SQRT(G26)/(O26/100)*I26,0)</f>
        <v/>
      </c>
      <c r="X26" s="47">
        <f>IF(AND(W26&gt;0,N26&lt;&gt;""),W26*VLOOKUP(N26,'1-專案資訊'!A25:I33,8,0)/100,0)</f>
        <v/>
      </c>
      <c r="Y26" s="47">
        <f>IF(OR(L26="#3 (D10)",L26="#4 (D13)",L26="#5 (D16)"),R26,0)+IF(OR(N26="#3 (D10)",N26="#4 (D13)",N26="#5 (D16)"),S26,0)</f>
        <v/>
      </c>
      <c r="Z26" s="47">
        <f>IF(AND(L26&lt;&gt;"",L26&lt;&gt;"#3 (D10)",L26&lt;&gt;"#4 (D13)",L26&lt;&gt;"#5 (D16)"),R26,0)+IF(AND(N26&lt;&gt;"",N26&lt;&gt;"#3 (D10)",N26&lt;&gt;"#4 (D13)",N26&lt;&gt;"#5 (D16)"),S26,0)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>
        <f>IF(AND(E27&lt;&gt;"",F27&lt;&gt;""),E27*F27/10000,"")</f>
        <v/>
      </c>
      <c r="H27" s="74" t="n"/>
      <c r="I27" s="70" t="n"/>
      <c r="J27" s="74" t="n"/>
      <c r="K27" s="70" t="n"/>
      <c r="L27" s="74" t="n"/>
      <c r="M27" s="75" t="n"/>
      <c r="N27" s="75" t="n"/>
      <c r="O27" s="75" t="n"/>
      <c r="P27" s="75" t="n"/>
      <c r="Q27" s="75">
        <f>IF(AND(G27&lt;&gt;"",H27&lt;&gt;"",I27&lt;&gt;""),G27*H27/100*I27,0)</f>
        <v/>
      </c>
      <c r="R27" s="75">
        <f>IF(AND(J27="鋼筋",K27=2,L27&lt;&gt;"",M27&lt;&gt;"",G27&lt;&gt;"",I27&lt;&gt;""),VLOOKUP(L27,'1-專案資訊'!A25:I33,4,0)/(M27/100)*2*1.15*G27*I27,0)</f>
        <v/>
      </c>
      <c r="S27" s="75">
        <f>IF(AND(J27="鋼筋",N27&lt;&gt;"",O27&lt;&gt;"",G27&lt;&gt;"",I27&lt;&gt;""),VLOOKUP(N27,'1-專案資訊'!A25:I33,4,0)/(O27/100)*2*1.15*G27*I27,0)</f>
        <v/>
      </c>
      <c r="T27" s="75">
        <f>IF(AND(J27="鋼絲網",P27&lt;&gt;"",G27&lt;&gt;"",I27&lt;&gt;""),VLOOKUP(P27,'1-專案資訊'!A38:B48,2,0)*G27*I27,0)</f>
        <v/>
      </c>
      <c r="U27" s="75">
        <f>IF(AND(G27&lt;&gt;"",I27&lt;&gt;""),G27*I27,0)</f>
        <v/>
      </c>
      <c r="V27" s="75">
        <f>IF(AND(G27&lt;&gt;"",I27&lt;&gt;""),G27*I27,0)</f>
        <v/>
      </c>
      <c r="W27" s="47">
        <f>IF(AND(J27="鋼筋",N27&lt;&gt;"",O27&lt;&gt;"",G27&lt;&gt;"",I27&lt;&gt;""),ROUNDUP(SQRT(G27)/$B$3,0)*2*SQRT(G27)/(O27/100)*I27,0)</f>
        <v/>
      </c>
      <c r="X27" s="47">
        <f>IF(AND(W27&gt;0,N27&lt;&gt;""),W27*VLOOKUP(N27,'1-專案資訊'!A25:I33,8,0)/100,0)</f>
        <v/>
      </c>
      <c r="Y27" s="47">
        <f>IF(OR(L27="#3 (D10)",L27="#4 (D13)",L27="#5 (D16)"),R27,0)+IF(OR(N27="#3 (D10)",N27="#4 (D13)",N27="#5 (D16)"),S27,0)</f>
        <v/>
      </c>
      <c r="Z27" s="47">
        <f>IF(AND(L27&lt;&gt;"",L27&lt;&gt;"#3 (D10)",L27&lt;&gt;"#4 (D13)",L27&lt;&gt;"#5 (D16)"),R27,0)+IF(AND(N27&lt;&gt;"",N27&lt;&gt;"#3 (D10)",N27&lt;&gt;"#4 (D13)",N27&lt;&gt;"#5 (D16)"),S27,0)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>
        <f>IF(AND(E28&lt;&gt;"",F28&lt;&gt;""),E28*F28/10000,"")</f>
        <v/>
      </c>
      <c r="H28" s="74" t="n"/>
      <c r="I28" s="70" t="n"/>
      <c r="J28" s="74" t="n"/>
      <c r="K28" s="70" t="n"/>
      <c r="L28" s="74" t="n"/>
      <c r="M28" s="75" t="n"/>
      <c r="N28" s="75" t="n"/>
      <c r="O28" s="75" t="n"/>
      <c r="P28" s="75" t="n"/>
      <c r="Q28" s="75">
        <f>IF(AND(G28&lt;&gt;"",H28&lt;&gt;"",I28&lt;&gt;""),G28*H28/100*I28,0)</f>
        <v/>
      </c>
      <c r="R28" s="75">
        <f>IF(AND(J28="鋼筋",K28=2,L28&lt;&gt;"",M28&lt;&gt;"",G28&lt;&gt;"",I28&lt;&gt;""),VLOOKUP(L28,'1-專案資訊'!A25:I33,4,0)/(M28/100)*2*1.15*G28*I28,0)</f>
        <v/>
      </c>
      <c r="S28" s="75">
        <f>IF(AND(J28="鋼筋",N28&lt;&gt;"",O28&lt;&gt;"",G28&lt;&gt;"",I28&lt;&gt;""),VLOOKUP(N28,'1-專案資訊'!A25:I33,4,0)/(O28/100)*2*1.15*G28*I28,0)</f>
        <v/>
      </c>
      <c r="T28" s="75">
        <f>IF(AND(J28="鋼絲網",P28&lt;&gt;"",G28&lt;&gt;"",I28&lt;&gt;""),VLOOKUP(P28,'1-專案資訊'!A38:B48,2,0)*G28*I28,0)</f>
        <v/>
      </c>
      <c r="U28" s="75">
        <f>IF(AND(G28&lt;&gt;"",I28&lt;&gt;""),G28*I28,0)</f>
        <v/>
      </c>
      <c r="V28" s="75">
        <f>IF(AND(G28&lt;&gt;"",I28&lt;&gt;""),G28*I28,0)</f>
        <v/>
      </c>
      <c r="W28" s="47">
        <f>IF(AND(J28="鋼筋",N28&lt;&gt;"",O28&lt;&gt;"",G28&lt;&gt;"",I28&lt;&gt;""),ROUNDUP(SQRT(G28)/$B$3,0)*2*SQRT(G28)/(O28/100)*I28,0)</f>
        <v/>
      </c>
      <c r="X28" s="47">
        <f>IF(AND(W28&gt;0,N28&lt;&gt;""),W28*VLOOKUP(N28,'1-專案資訊'!A25:I33,8,0)/100,0)</f>
        <v/>
      </c>
      <c r="Y28" s="47">
        <f>IF(OR(L28="#3 (D10)",L28="#4 (D13)",L28="#5 (D16)"),R28,0)+IF(OR(N28="#3 (D10)",N28="#4 (D13)",N28="#5 (D16)"),S28,0)</f>
        <v/>
      </c>
      <c r="Z28" s="47">
        <f>IF(AND(L28&lt;&gt;"",L28&lt;&gt;"#3 (D10)",L28&lt;&gt;"#4 (D13)",L28&lt;&gt;"#5 (D16)"),R28,0)+IF(AND(N28&lt;&gt;"",N28&lt;&gt;"#3 (D10)",N28&lt;&gt;"#4 (D13)",N28&lt;&gt;"#5 (D16)"),S28,0)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>
        <f>IF(AND(E29&lt;&gt;"",F29&lt;&gt;""),E29*F29/10000,"")</f>
        <v/>
      </c>
      <c r="H29" s="74" t="n"/>
      <c r="I29" s="70" t="n"/>
      <c r="J29" s="74" t="n"/>
      <c r="K29" s="70" t="n"/>
      <c r="L29" s="74" t="n"/>
      <c r="M29" s="75" t="n"/>
      <c r="N29" s="75" t="n"/>
      <c r="O29" s="75" t="n"/>
      <c r="P29" s="75" t="n"/>
      <c r="Q29" s="75">
        <f>IF(AND(G29&lt;&gt;"",H29&lt;&gt;"",I29&lt;&gt;""),G29*H29/100*I29,0)</f>
        <v/>
      </c>
      <c r="R29" s="75">
        <f>IF(AND(J29="鋼筋",K29=2,L29&lt;&gt;"",M29&lt;&gt;"",G29&lt;&gt;"",I29&lt;&gt;""),VLOOKUP(L29,'1-專案資訊'!A25:I33,4,0)/(M29/100)*2*1.15*G29*I29,0)</f>
        <v/>
      </c>
      <c r="S29" s="75">
        <f>IF(AND(J29="鋼筋",N29&lt;&gt;"",O29&lt;&gt;"",G29&lt;&gt;"",I29&lt;&gt;""),VLOOKUP(N29,'1-專案資訊'!A25:I33,4,0)/(O29/100)*2*1.15*G29*I29,0)</f>
        <v/>
      </c>
      <c r="T29" s="75">
        <f>IF(AND(J29="鋼絲網",P29&lt;&gt;"",G29&lt;&gt;"",I29&lt;&gt;""),VLOOKUP(P29,'1-專案資訊'!A38:B48,2,0)*G29*I29,0)</f>
        <v/>
      </c>
      <c r="U29" s="75">
        <f>IF(AND(G29&lt;&gt;"",I29&lt;&gt;""),G29*I29,0)</f>
        <v/>
      </c>
      <c r="V29" s="75">
        <f>IF(AND(G29&lt;&gt;"",I29&lt;&gt;""),G29*I29,0)</f>
        <v/>
      </c>
      <c r="W29" s="47">
        <f>IF(AND(J29="鋼筋",N29&lt;&gt;"",O29&lt;&gt;"",G29&lt;&gt;"",I29&lt;&gt;""),ROUNDUP(SQRT(G29)/$B$3,0)*2*SQRT(G29)/(O29/100)*I29,0)</f>
        <v/>
      </c>
      <c r="X29" s="47">
        <f>IF(AND(W29&gt;0,N29&lt;&gt;""),W29*VLOOKUP(N29,'1-專案資訊'!A25:I33,8,0)/100,0)</f>
        <v/>
      </c>
      <c r="Y29" s="47">
        <f>IF(OR(L29="#3 (D10)",L29="#4 (D13)",L29="#5 (D16)"),R29,0)+IF(OR(N29="#3 (D10)",N29="#4 (D13)",N29="#5 (D16)"),S29,0)</f>
        <v/>
      </c>
      <c r="Z29" s="47">
        <f>IF(AND(L29&lt;&gt;"",L29&lt;&gt;"#3 (D10)",L29&lt;&gt;"#4 (D13)",L29&lt;&gt;"#5 (D16)"),R29,0)+IF(AND(N29&lt;&gt;"",N29&lt;&gt;"#3 (D10)",N29&lt;&gt;"#4 (D13)",N29&lt;&gt;"#5 (D16)"),S29,0)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>
        <f>IF(AND(E30&lt;&gt;"",F30&lt;&gt;""),E30*F30/10000,"")</f>
        <v/>
      </c>
      <c r="H30" s="74" t="n"/>
      <c r="I30" s="70" t="n"/>
      <c r="J30" s="74" t="n"/>
      <c r="K30" s="70" t="n"/>
      <c r="L30" s="74" t="n"/>
      <c r="M30" s="75" t="n"/>
      <c r="N30" s="75" t="n"/>
      <c r="O30" s="75" t="n"/>
      <c r="P30" s="75" t="n"/>
      <c r="Q30" s="75">
        <f>IF(AND(G30&lt;&gt;"",H30&lt;&gt;"",I30&lt;&gt;""),G30*H30/100*I30,0)</f>
        <v/>
      </c>
      <c r="R30" s="75">
        <f>IF(AND(J30="鋼筋",K30=2,L30&lt;&gt;"",M30&lt;&gt;"",G30&lt;&gt;"",I30&lt;&gt;""),VLOOKUP(L30,'1-專案資訊'!A25:I33,4,0)/(M30/100)*2*1.15*G30*I30,0)</f>
        <v/>
      </c>
      <c r="S30" s="75">
        <f>IF(AND(J30="鋼筋",N30&lt;&gt;"",O30&lt;&gt;"",G30&lt;&gt;"",I30&lt;&gt;""),VLOOKUP(N30,'1-專案資訊'!A25:I33,4,0)/(O30/100)*2*1.15*G30*I30,0)</f>
        <v/>
      </c>
      <c r="T30" s="75">
        <f>IF(AND(J30="鋼絲網",P30&lt;&gt;"",G30&lt;&gt;"",I30&lt;&gt;""),VLOOKUP(P30,'1-專案資訊'!A38:B48,2,0)*G30*I30,0)</f>
        <v/>
      </c>
      <c r="U30" s="75">
        <f>IF(AND(G30&lt;&gt;"",I30&lt;&gt;""),G30*I30,0)</f>
        <v/>
      </c>
      <c r="V30" s="75">
        <f>IF(AND(G30&lt;&gt;"",I30&lt;&gt;""),G30*I30,0)</f>
        <v/>
      </c>
      <c r="W30" s="47">
        <f>IF(AND(J30="鋼筋",N30&lt;&gt;"",O30&lt;&gt;"",G30&lt;&gt;"",I30&lt;&gt;""),ROUNDUP(SQRT(G30)/$B$3,0)*2*SQRT(G30)/(O30/100)*I30,0)</f>
        <v/>
      </c>
      <c r="X30" s="47">
        <f>IF(AND(W30&gt;0,N30&lt;&gt;""),W30*VLOOKUP(N30,'1-專案資訊'!A25:I33,8,0)/100,0)</f>
        <v/>
      </c>
      <c r="Y30" s="47">
        <f>IF(OR(L30="#3 (D10)",L30="#4 (D13)",L30="#5 (D16)"),R30,0)+IF(OR(N30="#3 (D10)",N30="#4 (D13)",N30="#5 (D16)"),S30,0)</f>
        <v/>
      </c>
      <c r="Z30" s="47">
        <f>IF(AND(L30&lt;&gt;"",L30&lt;&gt;"#3 (D10)",L30&lt;&gt;"#4 (D13)",L30&lt;&gt;"#5 (D16)"),R30,0)+IF(AND(N30&lt;&gt;"",N30&lt;&gt;"#3 (D10)",N30&lt;&gt;"#4 (D13)",N30&lt;&gt;"#5 (D16)"),S30,0)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>
        <f>IF(AND(E31&lt;&gt;"",F31&lt;&gt;""),E31*F31/10000,"")</f>
        <v/>
      </c>
      <c r="H31" s="74" t="n"/>
      <c r="I31" s="70" t="n"/>
      <c r="J31" s="74" t="n"/>
      <c r="K31" s="70" t="n"/>
      <c r="L31" s="74" t="n"/>
      <c r="M31" s="75" t="n"/>
      <c r="N31" s="75" t="n"/>
      <c r="O31" s="75" t="n"/>
      <c r="P31" s="75" t="n"/>
      <c r="Q31" s="75">
        <f>IF(AND(G31&lt;&gt;"",H31&lt;&gt;"",I31&lt;&gt;""),G31*H31/100*I31,0)</f>
        <v/>
      </c>
      <c r="R31" s="75">
        <f>IF(AND(J31="鋼筋",K31=2,L31&lt;&gt;"",M31&lt;&gt;"",G31&lt;&gt;"",I31&lt;&gt;""),VLOOKUP(L31,'1-專案資訊'!A25:I33,4,0)/(M31/100)*2*1.15*G31*I31,0)</f>
        <v/>
      </c>
      <c r="S31" s="75">
        <f>IF(AND(J31="鋼筋",N31&lt;&gt;"",O31&lt;&gt;"",G31&lt;&gt;"",I31&lt;&gt;""),VLOOKUP(N31,'1-專案資訊'!A25:I33,4,0)/(O31/100)*2*1.15*G31*I31,0)</f>
        <v/>
      </c>
      <c r="T31" s="75">
        <f>IF(AND(J31="鋼絲網",P31&lt;&gt;"",G31&lt;&gt;"",I31&lt;&gt;""),VLOOKUP(P31,'1-專案資訊'!A38:B48,2,0)*G31*I31,0)</f>
        <v/>
      </c>
      <c r="U31" s="75">
        <f>IF(AND(G31&lt;&gt;"",I31&lt;&gt;""),G31*I31,0)</f>
        <v/>
      </c>
      <c r="V31" s="75">
        <f>IF(AND(G31&lt;&gt;"",I31&lt;&gt;""),G31*I31,0)</f>
        <v/>
      </c>
      <c r="W31" s="47">
        <f>IF(AND(J31="鋼筋",N31&lt;&gt;"",O31&lt;&gt;"",G31&lt;&gt;"",I31&lt;&gt;""),ROUNDUP(SQRT(G31)/$B$3,0)*2*SQRT(G31)/(O31/100)*I31,0)</f>
        <v/>
      </c>
      <c r="X31" s="47">
        <f>IF(AND(W31&gt;0,N31&lt;&gt;""),W31*VLOOKUP(N31,'1-專案資訊'!A25:I33,8,0)/100,0)</f>
        <v/>
      </c>
      <c r="Y31" s="47">
        <f>IF(OR(L31="#3 (D10)",L31="#4 (D13)",L31="#5 (D16)"),R31,0)+IF(OR(N31="#3 (D10)",N31="#4 (D13)",N31="#5 (D16)"),S31,0)</f>
        <v/>
      </c>
      <c r="Z31" s="47">
        <f>IF(AND(L31&lt;&gt;"",L31&lt;&gt;"#3 (D10)",L31&lt;&gt;"#4 (D13)",L31&lt;&gt;"#5 (D16)"),R31,0)+IF(AND(N31&lt;&gt;"",N31&lt;&gt;"#3 (D10)",N31&lt;&gt;"#4 (D13)",N31&lt;&gt;"#5 (D16)"),S31,0)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>
        <f>IF(AND(E32&lt;&gt;"",F32&lt;&gt;""),E32*F32/10000,"")</f>
        <v/>
      </c>
      <c r="H32" s="74" t="n"/>
      <c r="I32" s="70" t="n"/>
      <c r="J32" s="74" t="n"/>
      <c r="K32" s="70" t="n"/>
      <c r="L32" s="74" t="n"/>
      <c r="M32" s="75" t="n"/>
      <c r="N32" s="75" t="n"/>
      <c r="O32" s="75" t="n"/>
      <c r="P32" s="75" t="n"/>
      <c r="Q32" s="75">
        <f>IF(AND(G32&lt;&gt;"",H32&lt;&gt;"",I32&lt;&gt;""),G32*H32/100*I32,0)</f>
        <v/>
      </c>
      <c r="R32" s="75">
        <f>IF(AND(J32="鋼筋",K32=2,L32&lt;&gt;"",M32&lt;&gt;"",G32&lt;&gt;"",I32&lt;&gt;""),VLOOKUP(L32,'1-專案資訊'!A25:I33,4,0)/(M32/100)*2*1.15*G32*I32,0)</f>
        <v/>
      </c>
      <c r="S32" s="75">
        <f>IF(AND(J32="鋼筋",N32&lt;&gt;"",O32&lt;&gt;"",G32&lt;&gt;"",I32&lt;&gt;""),VLOOKUP(N32,'1-專案資訊'!A25:I33,4,0)/(O32/100)*2*1.15*G32*I32,0)</f>
        <v/>
      </c>
      <c r="T32" s="75">
        <f>IF(AND(J32="鋼絲網",P32&lt;&gt;"",G32&lt;&gt;"",I32&lt;&gt;""),VLOOKUP(P32,'1-專案資訊'!A38:B48,2,0)*G32*I32,0)</f>
        <v/>
      </c>
      <c r="U32" s="75">
        <f>IF(AND(G32&lt;&gt;"",I32&lt;&gt;""),G32*I32,0)</f>
        <v/>
      </c>
      <c r="V32" s="75">
        <f>IF(AND(G32&lt;&gt;"",I32&lt;&gt;""),G32*I32,0)</f>
        <v/>
      </c>
      <c r="W32" s="47">
        <f>IF(AND(J32="鋼筋",N32&lt;&gt;"",O32&lt;&gt;"",G32&lt;&gt;"",I32&lt;&gt;""),ROUNDUP(SQRT(G32)/$B$3,0)*2*SQRT(G32)/(O32/100)*I32,0)</f>
        <v/>
      </c>
      <c r="X32" s="47">
        <f>IF(AND(W32&gt;0,N32&lt;&gt;""),W32*VLOOKUP(N32,'1-專案資訊'!A25:I33,8,0)/100,0)</f>
        <v/>
      </c>
      <c r="Y32" s="47">
        <f>IF(OR(L32="#3 (D10)",L32="#4 (D13)",L32="#5 (D16)"),R32,0)+IF(OR(N32="#3 (D10)",N32="#4 (D13)",N32="#5 (D16)"),S32,0)</f>
        <v/>
      </c>
      <c r="Z32" s="47">
        <f>IF(AND(L32&lt;&gt;"",L32&lt;&gt;"#3 (D10)",L32&lt;&gt;"#4 (D13)",L32&lt;&gt;"#5 (D16)"),R32,0)+IF(AND(N32&lt;&gt;"",N32&lt;&gt;"#3 (D10)",N32&lt;&gt;"#4 (D13)",N32&lt;&gt;"#5 (D16)"),S32,0)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>
        <f>IF(AND(E33&lt;&gt;"",F33&lt;&gt;""),E33*F33/10000,"")</f>
        <v/>
      </c>
      <c r="H33" s="74" t="n"/>
      <c r="I33" s="70" t="n"/>
      <c r="J33" s="74" t="n"/>
      <c r="K33" s="70" t="n"/>
      <c r="L33" s="74" t="n"/>
      <c r="M33" s="75" t="n"/>
      <c r="N33" s="75" t="n"/>
      <c r="O33" s="75" t="n"/>
      <c r="P33" s="75" t="n"/>
      <c r="Q33" s="75">
        <f>IF(AND(G33&lt;&gt;"",H33&lt;&gt;"",I33&lt;&gt;""),G33*H33/100*I33,0)</f>
        <v/>
      </c>
      <c r="R33" s="75">
        <f>IF(AND(J33="鋼筋",K33=2,L33&lt;&gt;"",M33&lt;&gt;"",G33&lt;&gt;"",I33&lt;&gt;""),VLOOKUP(L33,'1-專案資訊'!A25:I33,4,0)/(M33/100)*2*1.15*G33*I33,0)</f>
        <v/>
      </c>
      <c r="S33" s="75">
        <f>IF(AND(J33="鋼筋",N33&lt;&gt;"",O33&lt;&gt;"",G33&lt;&gt;"",I33&lt;&gt;""),VLOOKUP(N33,'1-專案資訊'!A25:I33,4,0)/(O33/100)*2*1.15*G33*I33,0)</f>
        <v/>
      </c>
      <c r="T33" s="75">
        <f>IF(AND(J33="鋼絲網",P33&lt;&gt;"",G33&lt;&gt;"",I33&lt;&gt;""),VLOOKUP(P33,'1-專案資訊'!A38:B48,2,0)*G33*I33,0)</f>
        <v/>
      </c>
      <c r="U33" s="75">
        <f>IF(AND(G33&lt;&gt;"",I33&lt;&gt;""),G33*I33,0)</f>
        <v/>
      </c>
      <c r="V33" s="75">
        <f>IF(AND(G33&lt;&gt;"",I33&lt;&gt;""),G33*I33,0)</f>
        <v/>
      </c>
      <c r="W33" s="47">
        <f>IF(AND(J33="鋼筋",N33&lt;&gt;"",O33&lt;&gt;"",G33&lt;&gt;"",I33&lt;&gt;""),ROUNDUP(SQRT(G33)/$B$3,0)*2*SQRT(G33)/(O33/100)*I33,0)</f>
        <v/>
      </c>
      <c r="X33" s="47">
        <f>IF(AND(W33&gt;0,N33&lt;&gt;""),W33*VLOOKUP(N33,'1-專案資訊'!A25:I33,8,0)/100,0)</f>
        <v/>
      </c>
      <c r="Y33" s="47">
        <f>IF(OR(L33="#3 (D10)",L33="#4 (D13)",L33="#5 (D16)"),R33,0)+IF(OR(N33="#3 (D10)",N33="#4 (D13)",N33="#5 (D16)"),S33,0)</f>
        <v/>
      </c>
      <c r="Z33" s="47">
        <f>IF(AND(L33&lt;&gt;"",L33&lt;&gt;"#3 (D10)",L33&lt;&gt;"#4 (D13)",L33&lt;&gt;"#5 (D16)"),R33,0)+IF(AND(N33&lt;&gt;"",N33&lt;&gt;"#3 (D10)",N33&lt;&gt;"#4 (D13)",N33&lt;&gt;"#5 (D16)"),S33,0)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>
        <f>IF(AND(E34&lt;&gt;"",F34&lt;&gt;""),E34*F34/10000,"")</f>
        <v/>
      </c>
      <c r="H34" s="74" t="n"/>
      <c r="I34" s="70" t="n"/>
      <c r="J34" s="74" t="n"/>
      <c r="K34" s="70" t="n"/>
      <c r="L34" s="74" t="n"/>
      <c r="M34" s="75" t="n"/>
      <c r="N34" s="75" t="n"/>
      <c r="O34" s="75" t="n"/>
      <c r="P34" s="75" t="n"/>
      <c r="Q34" s="75">
        <f>IF(AND(G34&lt;&gt;"",H34&lt;&gt;"",I34&lt;&gt;""),G34*H34/100*I34,0)</f>
        <v/>
      </c>
      <c r="R34" s="75">
        <f>IF(AND(J34="鋼筋",K34=2,L34&lt;&gt;"",M34&lt;&gt;"",G34&lt;&gt;"",I34&lt;&gt;""),VLOOKUP(L34,'1-專案資訊'!A25:I33,4,0)/(M34/100)*2*1.15*G34*I34,0)</f>
        <v/>
      </c>
      <c r="S34" s="75">
        <f>IF(AND(J34="鋼筋",N34&lt;&gt;"",O34&lt;&gt;"",G34&lt;&gt;"",I34&lt;&gt;""),VLOOKUP(N34,'1-專案資訊'!A25:I33,4,0)/(O34/100)*2*1.15*G34*I34,0)</f>
        <v/>
      </c>
      <c r="T34" s="75">
        <f>IF(AND(J34="鋼絲網",P34&lt;&gt;"",G34&lt;&gt;"",I34&lt;&gt;""),VLOOKUP(P34,'1-專案資訊'!A38:B48,2,0)*G34*I34,0)</f>
        <v/>
      </c>
      <c r="U34" s="75">
        <f>IF(AND(G34&lt;&gt;"",I34&lt;&gt;""),G34*I34,0)</f>
        <v/>
      </c>
      <c r="V34" s="75">
        <f>IF(AND(G34&lt;&gt;"",I34&lt;&gt;""),G34*I34,0)</f>
        <v/>
      </c>
      <c r="W34" s="47">
        <f>IF(AND(J34="鋼筋",N34&lt;&gt;"",O34&lt;&gt;"",G34&lt;&gt;"",I34&lt;&gt;""),ROUNDUP(SQRT(G34)/$B$3,0)*2*SQRT(G34)/(O34/100)*I34,0)</f>
        <v/>
      </c>
      <c r="X34" s="47">
        <f>IF(AND(W34&gt;0,N34&lt;&gt;""),W34*VLOOKUP(N34,'1-專案資訊'!A25:I33,8,0)/100,0)</f>
        <v/>
      </c>
      <c r="Y34" s="47">
        <f>IF(OR(L34="#3 (D10)",L34="#4 (D13)",L34="#5 (D16)"),R34,0)+IF(OR(N34="#3 (D10)",N34="#4 (D13)",N34="#5 (D16)"),S34,0)</f>
        <v/>
      </c>
      <c r="Z34" s="47">
        <f>IF(AND(L34&lt;&gt;"",L34&lt;&gt;"#3 (D10)",L34&lt;&gt;"#4 (D13)",L34&lt;&gt;"#5 (D16)"),R34,0)+IF(AND(N34&lt;&gt;"",N34&lt;&gt;"#3 (D10)",N34&lt;&gt;"#4 (D13)",N34&lt;&gt;"#5 (D16)"),S34,0)</f>
        <v/>
      </c>
    </row>
    <row r="35" ht="16.5" customHeight="1" s="48">
      <c r="B35" s="76" t="n"/>
      <c r="M35" s="77" t="n"/>
      <c r="N35" s="77" t="n"/>
      <c r="O35" s="77" t="n"/>
      <c r="P35" s="77" t="n"/>
      <c r="Q35" s="77">
        <f>SUM(Q5:Q34)</f>
        <v/>
      </c>
      <c r="R35" s="77">
        <f>SUM(R5:R34)</f>
        <v/>
      </c>
      <c r="S35" s="77">
        <f>SUM(S5:S34)</f>
        <v/>
      </c>
      <c r="T35" s="77">
        <f>SUM(T5:T34)</f>
        <v/>
      </c>
      <c r="U35" s="77">
        <f>SUM(U5:U34)</f>
        <v/>
      </c>
      <c r="V35" s="77">
        <f>SUM(V5:V34)</f>
        <v/>
      </c>
      <c r="W35" s="47">
        <f>SUM(W5:W34)</f>
        <v/>
      </c>
      <c r="X35" s="47">
        <f>SUM(X5:X34)</f>
        <v/>
      </c>
      <c r="Y35" s="47">
        <f>SUM(Y5:Y34)</f>
        <v/>
      </c>
      <c r="Z35" s="47">
        <f>SUM(Z5:Z34)</f>
        <v/>
      </c>
    </row>
  </sheetData>
  <mergeCells count="2">
    <mergeCell ref="A2:X2"/>
    <mergeCell ref="A1:X1"/>
  </mergeCells>
  <dataValidations count="6">
    <dataValidation sqref="D5:D34" showDropDown="0" showInputMessage="0" showErrorMessage="0" allowBlank="1" type="list">
      <formula1>"S-01"</formula1>
    </dataValidation>
    <dataValidation sqref="J5:J34" showDropDown="0" showInputMessage="0" showErrorMessage="0" allowBlank="1" type="list">
      <formula1>"鋼筋,鋼絲網"</formula1>
    </dataValidation>
    <dataValidation sqref="K5:K34" showDropDown="0" showInputMessage="0" showErrorMessage="0" allowBlank="1" type="list">
      <formula1>"1,2"</formula1>
    </dataValidation>
    <dataValidation sqref="L5:L34" showDropDown="0" showInputMessage="0" showErrorMessage="0" allowBlank="1" type="list">
      <formula1>"#3 (D10),#4 (D13),#5 (D16),#6 (D19),#7 (D22)"</formula1>
    </dataValidation>
    <dataValidation sqref="N5:N34" showDropDown="0" showInputMessage="0" showErrorMessage="0" allowBlank="1" type="list">
      <formula1>"#3 (D10),#4 (D13),#5 (D16),#6 (D19),#7 (D22)"</formula1>
    </dataValidation>
    <dataValidation sqref="P5:P34" showDropDown="0" showInputMessage="0" showErrorMessage="0" allowBlank="1" type="list">
      <formula1>"φ6@150x150"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U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3"/>
    <col width="10" customWidth="1" style="47" min="4" max="6"/>
    <col width="9" customWidth="1" style="47" min="7" max="7"/>
    <col width="7" customWidth="1" style="47" min="8" max="8"/>
    <col width="12" customWidth="1" style="47" min="9" max="9"/>
    <col width="9" customWidth="1" style="47" min="10" max="10"/>
    <col width="12" customWidth="1" style="47" min="11" max="11"/>
    <col width="9" customWidth="1" style="47" min="12" max="12"/>
    <col width="14" customWidth="1" style="47" min="13" max="13"/>
    <col width="11" customWidth="1" style="47" min="14" max="17"/>
    <col width="12" customWidth="1" style="47" min="18" max="19"/>
  </cols>
  <sheetData>
    <row r="1" ht="17.25" customHeight="1" s="48">
      <c r="A1" s="68" t="inlineStr">
        <is>
          <t>牆 數量計算表</t>
        </is>
      </c>
    </row>
    <row r="2" ht="13.5" customHeight="1" s="48">
      <c r="A2" s="50" t="inlineStr">
        <is>
          <t>雙面雙向x1.15搭接。可選鋼絲網。</t>
        </is>
      </c>
    </row>
    <row r="3" ht="15" customHeight="1" s="48">
      <c r="A3" s="51" t="inlineStr">
        <is>
          <t>預設鋼筋長度 (m):</t>
        </is>
      </c>
      <c r="B3" s="71" t="n">
        <v>6</v>
      </c>
      <c r="C3" s="50" t="inlineStr">
        <is>
          <t>← 可調整</t>
        </is>
      </c>
    </row>
    <row r="4" ht="1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牆編號</t>
        </is>
      </c>
      <c r="D4" s="59" t="inlineStr">
        <is>
          <t>▼型式</t>
        </is>
      </c>
      <c r="E4" s="60" t="inlineStr">
        <is>
          <t>L (mm)</t>
        </is>
      </c>
      <c r="F4" s="60" t="inlineStr">
        <is>
          <t>H (mm)</t>
        </is>
      </c>
      <c r="G4" s="60" t="inlineStr">
        <is>
          <t>T (mm)</t>
        </is>
      </c>
      <c r="H4" s="59" t="inlineStr">
        <is>
          <t>數量</t>
        </is>
      </c>
      <c r="I4" s="59" t="inlineStr">
        <is>
          <t>▼縱筋</t>
        </is>
      </c>
      <c r="J4" s="59" t="inlineStr">
        <is>
          <t>間距 (mm)</t>
        </is>
      </c>
      <c r="K4" s="59" t="inlineStr">
        <is>
          <t>▼橫筋</t>
        </is>
      </c>
      <c r="L4" s="59" t="inlineStr">
        <is>
          <t>間距 (mm)</t>
        </is>
      </c>
      <c r="M4" s="59" t="inlineStr">
        <is>
          <t>▼鋼絲網</t>
        </is>
      </c>
      <c r="N4" s="59" t="inlineStr">
        <is>
          <t>混凝土 (m3)</t>
        </is>
      </c>
      <c r="O4" s="59" t="inlineStr">
        <is>
          <t>鋼筋 (kg)</t>
        </is>
      </c>
      <c r="P4" s="59" t="inlineStr">
        <is>
          <t>鋼絲網 (kg)</t>
        </is>
      </c>
      <c r="Q4" s="59" t="inlineStr">
        <is>
          <t>模板 (m2)</t>
        </is>
      </c>
      <c r="R4" s="72" t="inlineStr">
        <is>
          <t>SD280 (kg)</t>
        </is>
      </c>
      <c r="S4" s="73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 t="n"/>
      <c r="H5" s="70" t="n"/>
      <c r="I5" s="74" t="n"/>
      <c r="J5" s="70" t="n"/>
      <c r="K5" s="74" t="n"/>
      <c r="L5" s="70" t="n"/>
      <c r="M5" s="74" t="n"/>
      <c r="N5" s="75">
        <f>IF(AND(E5&lt;&gt;"",F5&lt;&gt;"",G5&lt;&gt;"",H5&lt;&gt;""),E5*F5*G5/1000000000*H5,0)</f>
        <v/>
      </c>
      <c r="O5" s="75">
        <f>IF(AND(I5&lt;&gt;"",J5&lt;&gt;"",K5&lt;&gt;"",L5&lt;&gt;"",E5&lt;&gt;"",F5&lt;&gt;"",H5&lt;&gt;""),(VLOOKUP(I5,'1-專案資訊'!A25:I33,4,0)*(E5/J5)*(F5/1000)+VLOOKUP(K5,'1-專案資訊'!A25:I33,4,0)*(F5/L5)*(E5/1000))*2*1.15*H5,0)</f>
        <v/>
      </c>
      <c r="P5" s="75">
        <f>IF(AND(M5&lt;&gt;"",M5&lt;&gt;"無",E5&lt;&gt;"",F5&lt;&gt;"",H5&lt;&gt;""),VLOOKUP(M5,'1-專案資訊'!A38:B48,2,0)*E5*F5/1000000*2*H5,0)</f>
        <v/>
      </c>
      <c r="Q5" s="75">
        <f>IF(AND(E5&lt;&gt;"",F5&lt;&gt;"",H5&lt;&gt;""),2*E5*F5/1000000*H5,0)</f>
        <v/>
      </c>
      <c r="R5" s="75">
        <f>IF(OR(I5="#3 (D10)",I5="#4 (D13)",I5="#5 (D16)"),O5,0)</f>
        <v/>
      </c>
      <c r="S5" s="75">
        <f>IF(AND(I5&lt;&gt;"",I5&lt;&gt;"#3 (D10)",I5&lt;&gt;"#4 (D13)",I5&lt;&gt;"#5 (D16)"),O5,0)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 t="n"/>
      <c r="H6" s="70" t="n"/>
      <c r="I6" s="74" t="n"/>
      <c r="J6" s="70" t="n"/>
      <c r="K6" s="74" t="n"/>
      <c r="L6" s="70" t="n"/>
      <c r="M6" s="74" t="n"/>
      <c r="N6" s="75">
        <f>IF(AND(E6&lt;&gt;"",F6&lt;&gt;"",G6&lt;&gt;"",H6&lt;&gt;""),E6*F6*G6/1000000000*H6,0)</f>
        <v/>
      </c>
      <c r="O6" s="75">
        <f>IF(AND(I6&lt;&gt;"",J6&lt;&gt;"",K6&lt;&gt;"",L6&lt;&gt;"",E6&lt;&gt;"",F6&lt;&gt;"",H6&lt;&gt;""),(VLOOKUP(I6,'1-專案資訊'!A25:I33,4,0)*(E6/J6)*(F6/1000)+VLOOKUP(K6,'1-專案資訊'!A25:I33,4,0)*(F6/L6)*(E6/1000))*2*1.15*H6,0)</f>
        <v/>
      </c>
      <c r="P6" s="75">
        <f>IF(AND(M6&lt;&gt;"",M6&lt;&gt;"無",E6&lt;&gt;"",F6&lt;&gt;"",H6&lt;&gt;""),VLOOKUP(M6,'1-專案資訊'!A38:B48,2,0)*E6*F6/1000000*2*H6,0)</f>
        <v/>
      </c>
      <c r="Q6" s="75">
        <f>IF(AND(E6&lt;&gt;"",F6&lt;&gt;"",H6&lt;&gt;""),2*E6*F6/1000000*H6,0)</f>
        <v/>
      </c>
      <c r="R6" s="75">
        <f>IF(OR(I6="#3 (D10)",I6="#4 (D13)",I6="#5 (D16)"),O6,0)</f>
        <v/>
      </c>
      <c r="S6" s="75">
        <f>IF(AND(I6&lt;&gt;"",I6&lt;&gt;"#3 (D10)",I6&lt;&gt;"#4 (D13)",I6&lt;&gt;"#5 (D16)"),O6,0)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 t="n"/>
      <c r="H7" s="70" t="n"/>
      <c r="I7" s="74" t="n"/>
      <c r="J7" s="70" t="n"/>
      <c r="K7" s="74" t="n"/>
      <c r="L7" s="70" t="n"/>
      <c r="M7" s="74" t="n"/>
      <c r="N7" s="75">
        <f>IF(AND(E7&lt;&gt;"",F7&lt;&gt;"",G7&lt;&gt;"",H7&lt;&gt;""),E7*F7*G7/1000000000*H7,0)</f>
        <v/>
      </c>
      <c r="O7" s="75">
        <f>IF(AND(I7&lt;&gt;"",J7&lt;&gt;"",K7&lt;&gt;"",L7&lt;&gt;"",E7&lt;&gt;"",F7&lt;&gt;"",H7&lt;&gt;""),(VLOOKUP(I7,'1-專案資訊'!A25:I33,4,0)*(E7/J7)*(F7/1000)+VLOOKUP(K7,'1-專案資訊'!A25:I33,4,0)*(F7/L7)*(E7/1000))*2*1.15*H7,0)</f>
        <v/>
      </c>
      <c r="P7" s="75">
        <f>IF(AND(M7&lt;&gt;"",M7&lt;&gt;"無",E7&lt;&gt;"",F7&lt;&gt;"",H7&lt;&gt;""),VLOOKUP(M7,'1-專案資訊'!A38:B48,2,0)*E7*F7/1000000*2*H7,0)</f>
        <v/>
      </c>
      <c r="Q7" s="75">
        <f>IF(AND(E7&lt;&gt;"",F7&lt;&gt;"",H7&lt;&gt;""),2*E7*F7/1000000*H7,0)</f>
        <v/>
      </c>
      <c r="R7" s="75">
        <f>IF(OR(I7="#3 (D10)",I7="#4 (D13)",I7="#5 (D16)"),O7,0)</f>
        <v/>
      </c>
      <c r="S7" s="75">
        <f>IF(AND(I7&lt;&gt;"",I7&lt;&gt;"#3 (D10)",I7&lt;&gt;"#4 (D13)",I7&lt;&gt;"#5 (D16)"),O7,0)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 t="n"/>
      <c r="H8" s="70" t="n"/>
      <c r="I8" s="74" t="n"/>
      <c r="J8" s="70" t="n"/>
      <c r="K8" s="74" t="n"/>
      <c r="L8" s="70" t="n"/>
      <c r="M8" s="74" t="n"/>
      <c r="N8" s="75">
        <f>IF(AND(E8&lt;&gt;"",F8&lt;&gt;"",G8&lt;&gt;"",H8&lt;&gt;""),E8*F8*G8/1000000000*H8,0)</f>
        <v/>
      </c>
      <c r="O8" s="75">
        <f>IF(AND(I8&lt;&gt;"",J8&lt;&gt;"",K8&lt;&gt;"",L8&lt;&gt;"",E8&lt;&gt;"",F8&lt;&gt;"",H8&lt;&gt;""),(VLOOKUP(I8,'1-專案資訊'!A25:I33,4,0)*(E8/J8)*(F8/1000)+VLOOKUP(K8,'1-專案資訊'!A25:I33,4,0)*(F8/L8)*(E8/1000))*2*1.15*H8,0)</f>
        <v/>
      </c>
      <c r="P8" s="75">
        <f>IF(AND(M8&lt;&gt;"",M8&lt;&gt;"無",E8&lt;&gt;"",F8&lt;&gt;"",H8&lt;&gt;""),VLOOKUP(M8,'1-專案資訊'!A38:B48,2,0)*E8*F8/1000000*2*H8,0)</f>
        <v/>
      </c>
      <c r="Q8" s="75">
        <f>IF(AND(E8&lt;&gt;"",F8&lt;&gt;"",H8&lt;&gt;""),2*E8*F8/1000000*H8,0)</f>
        <v/>
      </c>
      <c r="R8" s="75">
        <f>IF(OR(I8="#3 (D10)",I8="#4 (D13)",I8="#5 (D16)"),O8,0)</f>
        <v/>
      </c>
      <c r="S8" s="75">
        <f>IF(AND(I8&lt;&gt;"",I8&lt;&gt;"#3 (D10)",I8&lt;&gt;"#4 (D13)",I8&lt;&gt;"#5 (D16)"),O8,0)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 t="n"/>
      <c r="H9" s="70" t="n"/>
      <c r="I9" s="74" t="n"/>
      <c r="J9" s="70" t="n"/>
      <c r="K9" s="74" t="n"/>
      <c r="L9" s="70" t="n"/>
      <c r="M9" s="74" t="n"/>
      <c r="N9" s="75">
        <f>IF(AND(E9&lt;&gt;"",F9&lt;&gt;"",G9&lt;&gt;"",H9&lt;&gt;""),E9*F9*G9/1000000000*H9,0)</f>
        <v/>
      </c>
      <c r="O9" s="75">
        <f>IF(AND(I9&lt;&gt;"",J9&lt;&gt;"",K9&lt;&gt;"",L9&lt;&gt;"",E9&lt;&gt;"",F9&lt;&gt;"",H9&lt;&gt;""),(VLOOKUP(I9,'1-專案資訊'!A25:I33,4,0)*(E9/J9)*(F9/1000)+VLOOKUP(K9,'1-專案資訊'!A25:I33,4,0)*(F9/L9)*(E9/1000))*2*1.15*H9,0)</f>
        <v/>
      </c>
      <c r="P9" s="75">
        <f>IF(AND(M9&lt;&gt;"",M9&lt;&gt;"無",E9&lt;&gt;"",F9&lt;&gt;"",H9&lt;&gt;""),VLOOKUP(M9,'1-專案資訊'!A38:B48,2,0)*E9*F9/1000000*2*H9,0)</f>
        <v/>
      </c>
      <c r="Q9" s="75">
        <f>IF(AND(E9&lt;&gt;"",F9&lt;&gt;"",H9&lt;&gt;""),2*E9*F9/1000000*H9,0)</f>
        <v/>
      </c>
      <c r="R9" s="75">
        <f>IF(OR(I9="#3 (D10)",I9="#4 (D13)",I9="#5 (D16)"),O9,0)</f>
        <v/>
      </c>
      <c r="S9" s="75">
        <f>IF(AND(I9&lt;&gt;"",I9&lt;&gt;"#3 (D10)",I9&lt;&gt;"#4 (D13)",I9&lt;&gt;"#5 (D16)"),O9,0)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 t="n"/>
      <c r="H10" s="70" t="n"/>
      <c r="I10" s="74" t="n"/>
      <c r="J10" s="70" t="n"/>
      <c r="K10" s="74" t="n"/>
      <c r="L10" s="70" t="n"/>
      <c r="M10" s="74" t="n"/>
      <c r="N10" s="75">
        <f>IF(AND(E10&lt;&gt;"",F10&lt;&gt;"",G10&lt;&gt;"",H10&lt;&gt;""),E10*F10*G10/1000000000*H10,0)</f>
        <v/>
      </c>
      <c r="O10" s="75">
        <f>IF(AND(I10&lt;&gt;"",J10&lt;&gt;"",K10&lt;&gt;"",L10&lt;&gt;"",E10&lt;&gt;"",F10&lt;&gt;"",H10&lt;&gt;""),(VLOOKUP(I10,'1-專案資訊'!A25:I33,4,0)*(E10/J10)*(F10/1000)+VLOOKUP(K10,'1-專案資訊'!A25:I33,4,0)*(F10/L10)*(E10/1000))*2*1.15*H10,0)</f>
        <v/>
      </c>
      <c r="P10" s="75">
        <f>IF(AND(M10&lt;&gt;"",M10&lt;&gt;"無",E10&lt;&gt;"",F10&lt;&gt;"",H10&lt;&gt;""),VLOOKUP(M10,'1-專案資訊'!A38:B48,2,0)*E10*F10/1000000*2*H10,0)</f>
        <v/>
      </c>
      <c r="Q10" s="75">
        <f>IF(AND(E10&lt;&gt;"",F10&lt;&gt;"",H10&lt;&gt;""),2*E10*F10/1000000*H10,0)</f>
        <v/>
      </c>
      <c r="R10" s="75">
        <f>IF(OR(I10="#3 (D10)",I10="#4 (D13)",I10="#5 (D16)"),O10,0)</f>
        <v/>
      </c>
      <c r="S10" s="75">
        <f>IF(AND(I10&lt;&gt;"",I10&lt;&gt;"#3 (D10)",I10&lt;&gt;"#4 (D13)",I10&lt;&gt;"#5 (D16)"),O10,0)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 t="n"/>
      <c r="H11" s="70" t="n"/>
      <c r="I11" s="74" t="n"/>
      <c r="J11" s="70" t="n"/>
      <c r="K11" s="74" t="n"/>
      <c r="L11" s="70" t="n"/>
      <c r="M11" s="74" t="n"/>
      <c r="N11" s="75">
        <f>IF(AND(E11&lt;&gt;"",F11&lt;&gt;"",G11&lt;&gt;"",H11&lt;&gt;""),E11*F11*G11/1000000000*H11,0)</f>
        <v/>
      </c>
      <c r="O11" s="75">
        <f>IF(AND(I11&lt;&gt;"",J11&lt;&gt;"",K11&lt;&gt;"",L11&lt;&gt;"",E11&lt;&gt;"",F11&lt;&gt;"",H11&lt;&gt;""),(VLOOKUP(I11,'1-專案資訊'!A25:I33,4,0)*(E11/J11)*(F11/1000)+VLOOKUP(K11,'1-專案資訊'!A25:I33,4,0)*(F11/L11)*(E11/1000))*2*1.15*H11,0)</f>
        <v/>
      </c>
      <c r="P11" s="75">
        <f>IF(AND(M11&lt;&gt;"",M11&lt;&gt;"無",E11&lt;&gt;"",F11&lt;&gt;"",H11&lt;&gt;""),VLOOKUP(M11,'1-專案資訊'!A38:B48,2,0)*E11*F11/1000000*2*H11,0)</f>
        <v/>
      </c>
      <c r="Q11" s="75">
        <f>IF(AND(E11&lt;&gt;"",F11&lt;&gt;"",H11&lt;&gt;""),2*E11*F11/1000000*H11,0)</f>
        <v/>
      </c>
      <c r="R11" s="75">
        <f>IF(OR(I11="#3 (D10)",I11="#4 (D13)",I11="#5 (D16)"),O11,0)</f>
        <v/>
      </c>
      <c r="S11" s="75">
        <f>IF(AND(I11&lt;&gt;"",I11&lt;&gt;"#3 (D10)",I11&lt;&gt;"#4 (D13)",I11&lt;&gt;"#5 (D16)"),O11,0)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 t="n"/>
      <c r="H12" s="70" t="n"/>
      <c r="I12" s="74" t="n"/>
      <c r="J12" s="70" t="n"/>
      <c r="K12" s="74" t="n"/>
      <c r="L12" s="70" t="n"/>
      <c r="M12" s="74" t="n"/>
      <c r="N12" s="75">
        <f>IF(AND(E12&lt;&gt;"",F12&lt;&gt;"",G12&lt;&gt;"",H12&lt;&gt;""),E12*F12*G12/1000000000*H12,0)</f>
        <v/>
      </c>
      <c r="O12" s="75">
        <f>IF(AND(I12&lt;&gt;"",J12&lt;&gt;"",K12&lt;&gt;"",L12&lt;&gt;"",E12&lt;&gt;"",F12&lt;&gt;"",H12&lt;&gt;""),(VLOOKUP(I12,'1-專案資訊'!A25:I33,4,0)*(E12/J12)*(F12/1000)+VLOOKUP(K12,'1-專案資訊'!A25:I33,4,0)*(F12/L12)*(E12/1000))*2*1.15*H12,0)</f>
        <v/>
      </c>
      <c r="P12" s="75">
        <f>IF(AND(M12&lt;&gt;"",M12&lt;&gt;"無",E12&lt;&gt;"",F12&lt;&gt;"",H12&lt;&gt;""),VLOOKUP(M12,'1-專案資訊'!A38:B48,2,0)*E12*F12/1000000*2*H12,0)</f>
        <v/>
      </c>
      <c r="Q12" s="75">
        <f>IF(AND(E12&lt;&gt;"",F12&lt;&gt;"",H12&lt;&gt;""),2*E12*F12/1000000*H12,0)</f>
        <v/>
      </c>
      <c r="R12" s="75">
        <f>IF(OR(I12="#3 (D10)",I12="#4 (D13)",I12="#5 (D16)"),O12,0)</f>
        <v/>
      </c>
      <c r="S12" s="75">
        <f>IF(AND(I12&lt;&gt;"",I12&lt;&gt;"#3 (D10)",I12&lt;&gt;"#4 (D13)",I12&lt;&gt;"#5 (D16)"),O12,0)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 t="n"/>
      <c r="H13" s="70" t="n"/>
      <c r="I13" s="74" t="n"/>
      <c r="J13" s="70" t="n"/>
      <c r="K13" s="74" t="n"/>
      <c r="L13" s="70" t="n"/>
      <c r="M13" s="74" t="n"/>
      <c r="N13" s="75">
        <f>IF(AND(E13&lt;&gt;"",F13&lt;&gt;"",G13&lt;&gt;"",H13&lt;&gt;""),E13*F13*G13/1000000000*H13,0)</f>
        <v/>
      </c>
      <c r="O13" s="75">
        <f>IF(AND(I13&lt;&gt;"",J13&lt;&gt;"",K13&lt;&gt;"",L13&lt;&gt;"",E13&lt;&gt;"",F13&lt;&gt;"",H13&lt;&gt;""),(VLOOKUP(I13,'1-專案資訊'!A25:I33,4,0)*(E13/J13)*(F13/1000)+VLOOKUP(K13,'1-專案資訊'!A25:I33,4,0)*(F13/L13)*(E13/1000))*2*1.15*H13,0)</f>
        <v/>
      </c>
      <c r="P13" s="75">
        <f>IF(AND(M13&lt;&gt;"",M13&lt;&gt;"無",E13&lt;&gt;"",F13&lt;&gt;"",H13&lt;&gt;""),VLOOKUP(M13,'1-專案資訊'!A38:B48,2,0)*E13*F13/1000000*2*H13,0)</f>
        <v/>
      </c>
      <c r="Q13" s="75">
        <f>IF(AND(E13&lt;&gt;"",F13&lt;&gt;"",H13&lt;&gt;""),2*E13*F13/1000000*H13,0)</f>
        <v/>
      </c>
      <c r="R13" s="75">
        <f>IF(OR(I13="#3 (D10)",I13="#4 (D13)",I13="#5 (D16)"),O13,0)</f>
        <v/>
      </c>
      <c r="S13" s="75">
        <f>IF(AND(I13&lt;&gt;"",I13&lt;&gt;"#3 (D10)",I13&lt;&gt;"#4 (D13)",I13&lt;&gt;"#5 (D16)"),O13,0)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 t="n"/>
      <c r="H14" s="70" t="n"/>
      <c r="I14" s="74" t="n"/>
      <c r="J14" s="70" t="n"/>
      <c r="K14" s="74" t="n"/>
      <c r="L14" s="70" t="n"/>
      <c r="M14" s="74" t="n"/>
      <c r="N14" s="75">
        <f>IF(AND(E14&lt;&gt;"",F14&lt;&gt;"",G14&lt;&gt;"",H14&lt;&gt;""),E14*F14*G14/1000000000*H14,0)</f>
        <v/>
      </c>
      <c r="O14" s="75">
        <f>IF(AND(I14&lt;&gt;"",J14&lt;&gt;"",K14&lt;&gt;"",L14&lt;&gt;"",E14&lt;&gt;"",F14&lt;&gt;"",H14&lt;&gt;""),(VLOOKUP(I14,'1-專案資訊'!A25:I33,4,0)*(E14/J14)*(F14/1000)+VLOOKUP(K14,'1-專案資訊'!A25:I33,4,0)*(F14/L14)*(E14/1000))*2*1.15*H14,0)</f>
        <v/>
      </c>
      <c r="P14" s="75">
        <f>IF(AND(M14&lt;&gt;"",M14&lt;&gt;"無",E14&lt;&gt;"",F14&lt;&gt;"",H14&lt;&gt;""),VLOOKUP(M14,'1-專案資訊'!A38:B48,2,0)*E14*F14/1000000*2*H14,0)</f>
        <v/>
      </c>
      <c r="Q14" s="75">
        <f>IF(AND(E14&lt;&gt;"",F14&lt;&gt;"",H14&lt;&gt;""),2*E14*F14/1000000*H14,0)</f>
        <v/>
      </c>
      <c r="R14" s="75">
        <f>IF(OR(I14="#3 (D10)",I14="#4 (D13)",I14="#5 (D16)"),O14,0)</f>
        <v/>
      </c>
      <c r="S14" s="75">
        <f>IF(AND(I14&lt;&gt;"",I14&lt;&gt;"#3 (D10)",I14&lt;&gt;"#4 (D13)",I14&lt;&gt;"#5 (D16)"),O14,0)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 t="n"/>
      <c r="H15" s="70" t="n"/>
      <c r="I15" s="74" t="n"/>
      <c r="J15" s="70" t="n"/>
      <c r="K15" s="74" t="n"/>
      <c r="L15" s="70" t="n"/>
      <c r="M15" s="74" t="n"/>
      <c r="N15" s="75">
        <f>IF(AND(E15&lt;&gt;"",F15&lt;&gt;"",G15&lt;&gt;"",H15&lt;&gt;""),E15*F15*G15/1000000000*H15,0)</f>
        <v/>
      </c>
      <c r="O15" s="75">
        <f>IF(AND(I15&lt;&gt;"",J15&lt;&gt;"",K15&lt;&gt;"",L15&lt;&gt;"",E15&lt;&gt;"",F15&lt;&gt;"",H15&lt;&gt;""),(VLOOKUP(I15,'1-專案資訊'!A25:I33,4,0)*(E15/J15)*(F15/1000)+VLOOKUP(K15,'1-專案資訊'!A25:I33,4,0)*(F15/L15)*(E15/1000))*2*1.15*H15,0)</f>
        <v/>
      </c>
      <c r="P15" s="75">
        <f>IF(AND(M15&lt;&gt;"",M15&lt;&gt;"無",E15&lt;&gt;"",F15&lt;&gt;"",H15&lt;&gt;""),VLOOKUP(M15,'1-專案資訊'!A38:B48,2,0)*E15*F15/1000000*2*H15,0)</f>
        <v/>
      </c>
      <c r="Q15" s="75">
        <f>IF(AND(E15&lt;&gt;"",F15&lt;&gt;"",H15&lt;&gt;""),2*E15*F15/1000000*H15,0)</f>
        <v/>
      </c>
      <c r="R15" s="75">
        <f>IF(OR(I15="#3 (D10)",I15="#4 (D13)",I15="#5 (D16)"),O15,0)</f>
        <v/>
      </c>
      <c r="S15" s="75">
        <f>IF(AND(I15&lt;&gt;"",I15&lt;&gt;"#3 (D10)",I15&lt;&gt;"#4 (D13)",I15&lt;&gt;"#5 (D16)"),O15,0)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 t="n"/>
      <c r="H16" s="70" t="n"/>
      <c r="I16" s="74" t="n"/>
      <c r="J16" s="70" t="n"/>
      <c r="K16" s="74" t="n"/>
      <c r="L16" s="70" t="n"/>
      <c r="M16" s="74" t="n"/>
      <c r="N16" s="75">
        <f>IF(AND(E16&lt;&gt;"",F16&lt;&gt;"",G16&lt;&gt;"",H16&lt;&gt;""),E16*F16*G16/1000000000*H16,0)</f>
        <v/>
      </c>
      <c r="O16" s="75">
        <f>IF(AND(I16&lt;&gt;"",J16&lt;&gt;"",K16&lt;&gt;"",L16&lt;&gt;"",E16&lt;&gt;"",F16&lt;&gt;"",H16&lt;&gt;""),(VLOOKUP(I16,'1-專案資訊'!A25:I33,4,0)*(E16/J16)*(F16/1000)+VLOOKUP(K16,'1-專案資訊'!A25:I33,4,0)*(F16/L16)*(E16/1000))*2*1.15*H16,0)</f>
        <v/>
      </c>
      <c r="P16" s="75">
        <f>IF(AND(M16&lt;&gt;"",M16&lt;&gt;"無",E16&lt;&gt;"",F16&lt;&gt;"",H16&lt;&gt;""),VLOOKUP(M16,'1-專案資訊'!A38:B48,2,0)*E16*F16/1000000*2*H16,0)</f>
        <v/>
      </c>
      <c r="Q16" s="75">
        <f>IF(AND(E16&lt;&gt;"",F16&lt;&gt;"",H16&lt;&gt;""),2*E16*F16/1000000*H16,0)</f>
        <v/>
      </c>
      <c r="R16" s="75">
        <f>IF(OR(I16="#3 (D10)",I16="#4 (D13)",I16="#5 (D16)"),O16,0)</f>
        <v/>
      </c>
      <c r="S16" s="75">
        <f>IF(AND(I16&lt;&gt;"",I16&lt;&gt;"#3 (D10)",I16&lt;&gt;"#4 (D13)",I16&lt;&gt;"#5 (D16)"),O16,0)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 t="n"/>
      <c r="H17" s="70" t="n"/>
      <c r="I17" s="74" t="n"/>
      <c r="J17" s="70" t="n"/>
      <c r="K17" s="74" t="n"/>
      <c r="L17" s="70" t="n"/>
      <c r="M17" s="74" t="n"/>
      <c r="N17" s="75">
        <f>IF(AND(E17&lt;&gt;"",F17&lt;&gt;"",G17&lt;&gt;"",H17&lt;&gt;""),E17*F17*G17/1000000000*H17,0)</f>
        <v/>
      </c>
      <c r="O17" s="75">
        <f>IF(AND(I17&lt;&gt;"",J17&lt;&gt;"",K17&lt;&gt;"",L17&lt;&gt;"",E17&lt;&gt;"",F17&lt;&gt;"",H17&lt;&gt;""),(VLOOKUP(I17,'1-專案資訊'!A25:I33,4,0)*(E17/J17)*(F17/1000)+VLOOKUP(K17,'1-專案資訊'!A25:I33,4,0)*(F17/L17)*(E17/1000))*2*1.15*H17,0)</f>
        <v/>
      </c>
      <c r="P17" s="75">
        <f>IF(AND(M17&lt;&gt;"",M17&lt;&gt;"無",E17&lt;&gt;"",F17&lt;&gt;"",H17&lt;&gt;""),VLOOKUP(M17,'1-專案資訊'!A38:B48,2,0)*E17*F17/1000000*2*H17,0)</f>
        <v/>
      </c>
      <c r="Q17" s="75">
        <f>IF(AND(E17&lt;&gt;"",F17&lt;&gt;"",H17&lt;&gt;""),2*E17*F17/1000000*H17,0)</f>
        <v/>
      </c>
      <c r="R17" s="75">
        <f>IF(OR(I17="#3 (D10)",I17="#4 (D13)",I17="#5 (D16)"),O17,0)</f>
        <v/>
      </c>
      <c r="S17" s="75">
        <f>IF(AND(I17&lt;&gt;"",I17&lt;&gt;"#3 (D10)",I17&lt;&gt;"#4 (D13)",I17&lt;&gt;"#5 (D16)"),O17,0)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 t="n"/>
      <c r="H18" s="70" t="n"/>
      <c r="I18" s="74" t="n"/>
      <c r="J18" s="70" t="n"/>
      <c r="K18" s="74" t="n"/>
      <c r="L18" s="70" t="n"/>
      <c r="M18" s="74" t="n"/>
      <c r="N18" s="75">
        <f>IF(AND(E18&lt;&gt;"",F18&lt;&gt;"",G18&lt;&gt;"",H18&lt;&gt;""),E18*F18*G18/1000000000*H18,0)</f>
        <v/>
      </c>
      <c r="O18" s="75">
        <f>IF(AND(I18&lt;&gt;"",J18&lt;&gt;"",K18&lt;&gt;"",L18&lt;&gt;"",E18&lt;&gt;"",F18&lt;&gt;"",H18&lt;&gt;""),(VLOOKUP(I18,'1-專案資訊'!A25:I33,4,0)*(E18/J18)*(F18/1000)+VLOOKUP(K18,'1-專案資訊'!A25:I33,4,0)*(F18/L18)*(E18/1000))*2*1.15*H18,0)</f>
        <v/>
      </c>
      <c r="P18" s="75">
        <f>IF(AND(M18&lt;&gt;"",M18&lt;&gt;"無",E18&lt;&gt;"",F18&lt;&gt;"",H18&lt;&gt;""),VLOOKUP(M18,'1-專案資訊'!A38:B48,2,0)*E18*F18/1000000*2*H18,0)</f>
        <v/>
      </c>
      <c r="Q18" s="75">
        <f>IF(AND(E18&lt;&gt;"",F18&lt;&gt;"",H18&lt;&gt;""),2*E18*F18/1000000*H18,0)</f>
        <v/>
      </c>
      <c r="R18" s="75">
        <f>IF(OR(I18="#3 (D10)",I18="#4 (D13)",I18="#5 (D16)"),O18,0)</f>
        <v/>
      </c>
      <c r="S18" s="75">
        <f>IF(AND(I18&lt;&gt;"",I18&lt;&gt;"#3 (D10)",I18&lt;&gt;"#4 (D13)",I18&lt;&gt;"#5 (D16)"),O18,0)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 t="n"/>
      <c r="H19" s="70" t="n"/>
      <c r="I19" s="74" t="n"/>
      <c r="J19" s="70" t="n"/>
      <c r="K19" s="74" t="n"/>
      <c r="L19" s="70" t="n"/>
      <c r="M19" s="74" t="n"/>
      <c r="N19" s="75">
        <f>IF(AND(E19&lt;&gt;"",F19&lt;&gt;"",G19&lt;&gt;"",H19&lt;&gt;""),E19*F19*G19/1000000000*H19,0)</f>
        <v/>
      </c>
      <c r="O19" s="75">
        <f>IF(AND(I19&lt;&gt;"",J19&lt;&gt;"",K19&lt;&gt;"",L19&lt;&gt;"",E19&lt;&gt;"",F19&lt;&gt;"",H19&lt;&gt;""),(VLOOKUP(I19,'1-專案資訊'!A25:I33,4,0)*(E19/J19)*(F19/1000)+VLOOKUP(K19,'1-專案資訊'!A25:I33,4,0)*(F19/L19)*(E19/1000))*2*1.15*H19,0)</f>
        <v/>
      </c>
      <c r="P19" s="75">
        <f>IF(AND(M19&lt;&gt;"",M19&lt;&gt;"無",E19&lt;&gt;"",F19&lt;&gt;"",H19&lt;&gt;""),VLOOKUP(M19,'1-專案資訊'!A38:B48,2,0)*E19*F19/1000000*2*H19,0)</f>
        <v/>
      </c>
      <c r="Q19" s="75">
        <f>IF(AND(E19&lt;&gt;"",F19&lt;&gt;"",H19&lt;&gt;""),2*E19*F19/1000000*H19,0)</f>
        <v/>
      </c>
      <c r="R19" s="75">
        <f>IF(OR(I19="#3 (D10)",I19="#4 (D13)",I19="#5 (D16)"),O19,0)</f>
        <v/>
      </c>
      <c r="S19" s="75">
        <f>IF(AND(I19&lt;&gt;"",I19&lt;&gt;"#3 (D10)",I19&lt;&gt;"#4 (D13)",I19&lt;&gt;"#5 (D16)"),O19,0)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 t="n"/>
      <c r="H20" s="70" t="n"/>
      <c r="I20" s="74" t="n"/>
      <c r="J20" s="70" t="n"/>
      <c r="K20" s="74" t="n"/>
      <c r="L20" s="70" t="n"/>
      <c r="M20" s="74" t="n"/>
      <c r="N20" s="75">
        <f>IF(AND(E20&lt;&gt;"",F20&lt;&gt;"",G20&lt;&gt;"",H20&lt;&gt;""),E20*F20*G20/1000000000*H20,0)</f>
        <v/>
      </c>
      <c r="O20" s="75">
        <f>IF(AND(I20&lt;&gt;"",J20&lt;&gt;"",K20&lt;&gt;"",L20&lt;&gt;"",E20&lt;&gt;"",F20&lt;&gt;"",H20&lt;&gt;""),(VLOOKUP(I20,'1-專案資訊'!A25:I33,4,0)*(E20/J20)*(F20/1000)+VLOOKUP(K20,'1-專案資訊'!A25:I33,4,0)*(F20/L20)*(E20/1000))*2*1.15*H20,0)</f>
        <v/>
      </c>
      <c r="P20" s="75">
        <f>IF(AND(M20&lt;&gt;"",M20&lt;&gt;"無",E20&lt;&gt;"",F20&lt;&gt;"",H20&lt;&gt;""),VLOOKUP(M20,'1-專案資訊'!A38:B48,2,0)*E20*F20/1000000*2*H20,0)</f>
        <v/>
      </c>
      <c r="Q20" s="75">
        <f>IF(AND(E20&lt;&gt;"",F20&lt;&gt;"",H20&lt;&gt;""),2*E20*F20/1000000*H20,0)</f>
        <v/>
      </c>
      <c r="R20" s="75">
        <f>IF(OR(I20="#3 (D10)",I20="#4 (D13)",I20="#5 (D16)"),O20,0)</f>
        <v/>
      </c>
      <c r="S20" s="75">
        <f>IF(AND(I20&lt;&gt;"",I20&lt;&gt;"#3 (D10)",I20&lt;&gt;"#4 (D13)",I20&lt;&gt;"#5 (D16)"),O20,0)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 t="n"/>
      <c r="H21" s="70" t="n"/>
      <c r="I21" s="74" t="n"/>
      <c r="J21" s="70" t="n"/>
      <c r="K21" s="74" t="n"/>
      <c r="L21" s="70" t="n"/>
      <c r="M21" s="74" t="n"/>
      <c r="N21" s="75">
        <f>IF(AND(E21&lt;&gt;"",F21&lt;&gt;"",G21&lt;&gt;"",H21&lt;&gt;""),E21*F21*G21/1000000000*H21,0)</f>
        <v/>
      </c>
      <c r="O21" s="75">
        <f>IF(AND(I21&lt;&gt;"",J21&lt;&gt;"",K21&lt;&gt;"",L21&lt;&gt;"",E21&lt;&gt;"",F21&lt;&gt;"",H21&lt;&gt;""),(VLOOKUP(I21,'1-專案資訊'!A25:I33,4,0)*(E21/J21)*(F21/1000)+VLOOKUP(K21,'1-專案資訊'!A25:I33,4,0)*(F21/L21)*(E21/1000))*2*1.15*H21,0)</f>
        <v/>
      </c>
      <c r="P21" s="75">
        <f>IF(AND(M21&lt;&gt;"",M21&lt;&gt;"無",E21&lt;&gt;"",F21&lt;&gt;"",H21&lt;&gt;""),VLOOKUP(M21,'1-專案資訊'!A38:B48,2,0)*E21*F21/1000000*2*H21,0)</f>
        <v/>
      </c>
      <c r="Q21" s="75">
        <f>IF(AND(E21&lt;&gt;"",F21&lt;&gt;"",H21&lt;&gt;""),2*E21*F21/1000000*H21,0)</f>
        <v/>
      </c>
      <c r="R21" s="75">
        <f>IF(OR(I21="#3 (D10)",I21="#4 (D13)",I21="#5 (D16)"),O21,0)</f>
        <v/>
      </c>
      <c r="S21" s="75">
        <f>IF(AND(I21&lt;&gt;"",I21&lt;&gt;"#3 (D10)",I21&lt;&gt;"#4 (D13)",I21&lt;&gt;"#5 (D16)"),O21,0)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 t="n"/>
      <c r="H22" s="70" t="n"/>
      <c r="I22" s="74" t="n"/>
      <c r="J22" s="70" t="n"/>
      <c r="K22" s="74" t="n"/>
      <c r="L22" s="70" t="n"/>
      <c r="M22" s="74" t="n"/>
      <c r="N22" s="75">
        <f>IF(AND(E22&lt;&gt;"",F22&lt;&gt;"",G22&lt;&gt;"",H22&lt;&gt;""),E22*F22*G22/1000000000*H22,0)</f>
        <v/>
      </c>
      <c r="O22" s="75">
        <f>IF(AND(I22&lt;&gt;"",J22&lt;&gt;"",K22&lt;&gt;"",L22&lt;&gt;"",E22&lt;&gt;"",F22&lt;&gt;"",H22&lt;&gt;""),(VLOOKUP(I22,'1-專案資訊'!A25:I33,4,0)*(E22/J22)*(F22/1000)+VLOOKUP(K22,'1-專案資訊'!A25:I33,4,0)*(F22/L22)*(E22/1000))*2*1.15*H22,0)</f>
        <v/>
      </c>
      <c r="P22" s="75">
        <f>IF(AND(M22&lt;&gt;"",M22&lt;&gt;"無",E22&lt;&gt;"",F22&lt;&gt;"",H22&lt;&gt;""),VLOOKUP(M22,'1-專案資訊'!A38:B48,2,0)*E22*F22/1000000*2*H22,0)</f>
        <v/>
      </c>
      <c r="Q22" s="75">
        <f>IF(AND(E22&lt;&gt;"",F22&lt;&gt;"",H22&lt;&gt;""),2*E22*F22/1000000*H22,0)</f>
        <v/>
      </c>
      <c r="R22" s="75">
        <f>IF(OR(I22="#3 (D10)",I22="#4 (D13)",I22="#5 (D16)"),O22,0)</f>
        <v/>
      </c>
      <c r="S22" s="75">
        <f>IF(AND(I22&lt;&gt;"",I22&lt;&gt;"#3 (D10)",I22&lt;&gt;"#4 (D13)",I22&lt;&gt;"#5 (D16)"),O22,0)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 t="n"/>
      <c r="H23" s="70" t="n"/>
      <c r="I23" s="74" t="n"/>
      <c r="J23" s="70" t="n"/>
      <c r="K23" s="74" t="n"/>
      <c r="L23" s="70" t="n"/>
      <c r="M23" s="74" t="n"/>
      <c r="N23" s="75">
        <f>IF(AND(E23&lt;&gt;"",F23&lt;&gt;"",G23&lt;&gt;"",H23&lt;&gt;""),E23*F23*G23/1000000000*H23,0)</f>
        <v/>
      </c>
      <c r="O23" s="75">
        <f>IF(AND(I23&lt;&gt;"",J23&lt;&gt;"",K23&lt;&gt;"",L23&lt;&gt;"",E23&lt;&gt;"",F23&lt;&gt;"",H23&lt;&gt;""),(VLOOKUP(I23,'1-專案資訊'!A25:I33,4,0)*(E23/J23)*(F23/1000)+VLOOKUP(K23,'1-專案資訊'!A25:I33,4,0)*(F23/L23)*(E23/1000))*2*1.15*H23,0)</f>
        <v/>
      </c>
      <c r="P23" s="75">
        <f>IF(AND(M23&lt;&gt;"",M23&lt;&gt;"無",E23&lt;&gt;"",F23&lt;&gt;"",H23&lt;&gt;""),VLOOKUP(M23,'1-專案資訊'!A38:B48,2,0)*E23*F23/1000000*2*H23,0)</f>
        <v/>
      </c>
      <c r="Q23" s="75">
        <f>IF(AND(E23&lt;&gt;"",F23&lt;&gt;"",H23&lt;&gt;""),2*E23*F23/1000000*H23,0)</f>
        <v/>
      </c>
      <c r="R23" s="75">
        <f>IF(OR(I23="#3 (D10)",I23="#4 (D13)",I23="#5 (D16)"),O23,0)</f>
        <v/>
      </c>
      <c r="S23" s="75">
        <f>IF(AND(I23&lt;&gt;"",I23&lt;&gt;"#3 (D10)",I23&lt;&gt;"#4 (D13)",I23&lt;&gt;"#5 (D16)"),O23,0)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 t="n"/>
      <c r="H24" s="70" t="n"/>
      <c r="I24" s="74" t="n"/>
      <c r="J24" s="70" t="n"/>
      <c r="K24" s="74" t="n"/>
      <c r="L24" s="70" t="n"/>
      <c r="M24" s="74" t="n"/>
      <c r="N24" s="75">
        <f>IF(AND(E24&lt;&gt;"",F24&lt;&gt;"",G24&lt;&gt;"",H24&lt;&gt;""),E24*F24*G24/1000000000*H24,0)</f>
        <v/>
      </c>
      <c r="O24" s="75">
        <f>IF(AND(I24&lt;&gt;"",J24&lt;&gt;"",K24&lt;&gt;"",L24&lt;&gt;"",E24&lt;&gt;"",F24&lt;&gt;"",H24&lt;&gt;""),(VLOOKUP(I24,'1-專案資訊'!A25:I33,4,0)*(E24/J24)*(F24/1000)+VLOOKUP(K24,'1-專案資訊'!A25:I33,4,0)*(F24/L24)*(E24/1000))*2*1.15*H24,0)</f>
        <v/>
      </c>
      <c r="P24" s="75">
        <f>IF(AND(M24&lt;&gt;"",M24&lt;&gt;"無",E24&lt;&gt;"",F24&lt;&gt;"",H24&lt;&gt;""),VLOOKUP(M24,'1-專案資訊'!A38:B48,2,0)*E24*F24/1000000*2*H24,0)</f>
        <v/>
      </c>
      <c r="Q24" s="75">
        <f>IF(AND(E24&lt;&gt;"",F24&lt;&gt;"",H24&lt;&gt;""),2*E24*F24/1000000*H24,0)</f>
        <v/>
      </c>
      <c r="R24" s="75">
        <f>IF(OR(I24="#3 (D10)",I24="#4 (D13)",I24="#5 (D16)"),O24,0)</f>
        <v/>
      </c>
      <c r="S24" s="75">
        <f>IF(AND(I24&lt;&gt;"",I24&lt;&gt;"#3 (D10)",I24&lt;&gt;"#4 (D13)",I24&lt;&gt;"#5 (D16)"),O24,0)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 t="n"/>
      <c r="H25" s="70" t="n"/>
      <c r="I25" s="74" t="n"/>
      <c r="J25" s="70" t="n"/>
      <c r="K25" s="74" t="n"/>
      <c r="L25" s="70" t="n"/>
      <c r="M25" s="74" t="n"/>
      <c r="N25" s="75">
        <f>IF(AND(E25&lt;&gt;"",F25&lt;&gt;"",G25&lt;&gt;"",H25&lt;&gt;""),E25*F25*G25/1000000000*H25,0)</f>
        <v/>
      </c>
      <c r="O25" s="75">
        <f>IF(AND(I25&lt;&gt;"",J25&lt;&gt;"",K25&lt;&gt;"",L25&lt;&gt;"",E25&lt;&gt;"",F25&lt;&gt;"",H25&lt;&gt;""),(VLOOKUP(I25,'1-專案資訊'!A25:I33,4,0)*(E25/J25)*(F25/1000)+VLOOKUP(K25,'1-專案資訊'!A25:I33,4,0)*(F25/L25)*(E25/1000))*2*1.15*H25,0)</f>
        <v/>
      </c>
      <c r="P25" s="75">
        <f>IF(AND(M25&lt;&gt;"",M25&lt;&gt;"無",E25&lt;&gt;"",F25&lt;&gt;"",H25&lt;&gt;""),VLOOKUP(M25,'1-專案資訊'!A38:B48,2,0)*E25*F25/1000000*2*H25,0)</f>
        <v/>
      </c>
      <c r="Q25" s="75">
        <f>IF(AND(E25&lt;&gt;"",F25&lt;&gt;"",H25&lt;&gt;""),2*E25*F25/1000000*H25,0)</f>
        <v/>
      </c>
      <c r="R25" s="75">
        <f>IF(OR(I25="#3 (D10)",I25="#4 (D13)",I25="#5 (D16)"),O25,0)</f>
        <v/>
      </c>
      <c r="S25" s="75">
        <f>IF(AND(I25&lt;&gt;"",I25&lt;&gt;"#3 (D10)",I25&lt;&gt;"#4 (D13)",I25&lt;&gt;"#5 (D16)"),O25,0)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 t="n"/>
      <c r="H26" s="70" t="n"/>
      <c r="I26" s="74" t="n"/>
      <c r="J26" s="70" t="n"/>
      <c r="K26" s="74" t="n"/>
      <c r="L26" s="70" t="n"/>
      <c r="M26" s="74" t="n"/>
      <c r="N26" s="75">
        <f>IF(AND(E26&lt;&gt;"",F26&lt;&gt;"",G26&lt;&gt;"",H26&lt;&gt;""),E26*F26*G26/1000000000*H26,0)</f>
        <v/>
      </c>
      <c r="O26" s="75">
        <f>IF(AND(I26&lt;&gt;"",J26&lt;&gt;"",K26&lt;&gt;"",L26&lt;&gt;"",E26&lt;&gt;"",F26&lt;&gt;"",H26&lt;&gt;""),(VLOOKUP(I26,'1-專案資訊'!A25:I33,4,0)*(E26/J26)*(F26/1000)+VLOOKUP(K26,'1-專案資訊'!A25:I33,4,0)*(F26/L26)*(E26/1000))*2*1.15*H26,0)</f>
        <v/>
      </c>
      <c r="P26" s="75">
        <f>IF(AND(M26&lt;&gt;"",M26&lt;&gt;"無",E26&lt;&gt;"",F26&lt;&gt;"",H26&lt;&gt;""),VLOOKUP(M26,'1-專案資訊'!A38:B48,2,0)*E26*F26/1000000*2*H26,0)</f>
        <v/>
      </c>
      <c r="Q26" s="75">
        <f>IF(AND(E26&lt;&gt;"",F26&lt;&gt;"",H26&lt;&gt;""),2*E26*F26/1000000*H26,0)</f>
        <v/>
      </c>
      <c r="R26" s="75">
        <f>IF(OR(I26="#3 (D10)",I26="#4 (D13)",I26="#5 (D16)"),O26,0)</f>
        <v/>
      </c>
      <c r="S26" s="75">
        <f>IF(AND(I26&lt;&gt;"",I26&lt;&gt;"#3 (D10)",I26&lt;&gt;"#4 (D13)",I26&lt;&gt;"#5 (D16)"),O26,0)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 t="n"/>
      <c r="H27" s="70" t="n"/>
      <c r="I27" s="74" t="n"/>
      <c r="J27" s="70" t="n"/>
      <c r="K27" s="74" t="n"/>
      <c r="L27" s="70" t="n"/>
      <c r="M27" s="74" t="n"/>
      <c r="N27" s="75">
        <f>IF(AND(E27&lt;&gt;"",F27&lt;&gt;"",G27&lt;&gt;"",H27&lt;&gt;""),E27*F27*G27/1000000000*H27,0)</f>
        <v/>
      </c>
      <c r="O27" s="75">
        <f>IF(AND(I27&lt;&gt;"",J27&lt;&gt;"",K27&lt;&gt;"",L27&lt;&gt;"",E27&lt;&gt;"",F27&lt;&gt;"",H27&lt;&gt;""),(VLOOKUP(I27,'1-專案資訊'!A25:I33,4,0)*(E27/J27)*(F27/1000)+VLOOKUP(K27,'1-專案資訊'!A25:I33,4,0)*(F27/L27)*(E27/1000))*2*1.15*H27,0)</f>
        <v/>
      </c>
      <c r="P27" s="75">
        <f>IF(AND(M27&lt;&gt;"",M27&lt;&gt;"無",E27&lt;&gt;"",F27&lt;&gt;"",H27&lt;&gt;""),VLOOKUP(M27,'1-專案資訊'!A38:B48,2,0)*E27*F27/1000000*2*H27,0)</f>
        <v/>
      </c>
      <c r="Q27" s="75">
        <f>IF(AND(E27&lt;&gt;"",F27&lt;&gt;"",H27&lt;&gt;""),2*E27*F27/1000000*H27,0)</f>
        <v/>
      </c>
      <c r="R27" s="75">
        <f>IF(OR(I27="#3 (D10)",I27="#4 (D13)",I27="#5 (D16)"),O27,0)</f>
        <v/>
      </c>
      <c r="S27" s="75">
        <f>IF(AND(I27&lt;&gt;"",I27&lt;&gt;"#3 (D10)",I27&lt;&gt;"#4 (D13)",I27&lt;&gt;"#5 (D16)"),O27,0)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 t="n"/>
      <c r="H28" s="70" t="n"/>
      <c r="I28" s="74" t="n"/>
      <c r="J28" s="70" t="n"/>
      <c r="K28" s="74" t="n"/>
      <c r="L28" s="70" t="n"/>
      <c r="M28" s="74" t="n"/>
      <c r="N28" s="75">
        <f>IF(AND(E28&lt;&gt;"",F28&lt;&gt;"",G28&lt;&gt;"",H28&lt;&gt;""),E28*F28*G28/1000000000*H28,0)</f>
        <v/>
      </c>
      <c r="O28" s="75">
        <f>IF(AND(I28&lt;&gt;"",J28&lt;&gt;"",K28&lt;&gt;"",L28&lt;&gt;"",E28&lt;&gt;"",F28&lt;&gt;"",H28&lt;&gt;""),(VLOOKUP(I28,'1-專案資訊'!A25:I33,4,0)*(E28/J28)*(F28/1000)+VLOOKUP(K28,'1-專案資訊'!A25:I33,4,0)*(F28/L28)*(E28/1000))*2*1.15*H28,0)</f>
        <v/>
      </c>
      <c r="P28" s="75">
        <f>IF(AND(M28&lt;&gt;"",M28&lt;&gt;"無",E28&lt;&gt;"",F28&lt;&gt;"",H28&lt;&gt;""),VLOOKUP(M28,'1-專案資訊'!A38:B48,2,0)*E28*F28/1000000*2*H28,0)</f>
        <v/>
      </c>
      <c r="Q28" s="75">
        <f>IF(AND(E28&lt;&gt;"",F28&lt;&gt;"",H28&lt;&gt;""),2*E28*F28/1000000*H28,0)</f>
        <v/>
      </c>
      <c r="R28" s="75">
        <f>IF(OR(I28="#3 (D10)",I28="#4 (D13)",I28="#5 (D16)"),O28,0)</f>
        <v/>
      </c>
      <c r="S28" s="75">
        <f>IF(AND(I28&lt;&gt;"",I28&lt;&gt;"#3 (D10)",I28&lt;&gt;"#4 (D13)",I28&lt;&gt;"#5 (D16)"),O28,0)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 t="n"/>
      <c r="H29" s="70" t="n"/>
      <c r="I29" s="74" t="n"/>
      <c r="J29" s="70" t="n"/>
      <c r="K29" s="74" t="n"/>
      <c r="L29" s="70" t="n"/>
      <c r="M29" s="74" t="n"/>
      <c r="N29" s="75">
        <f>IF(AND(E29&lt;&gt;"",F29&lt;&gt;"",G29&lt;&gt;"",H29&lt;&gt;""),E29*F29*G29/1000000000*H29,0)</f>
        <v/>
      </c>
      <c r="O29" s="75">
        <f>IF(AND(I29&lt;&gt;"",J29&lt;&gt;"",K29&lt;&gt;"",L29&lt;&gt;"",E29&lt;&gt;"",F29&lt;&gt;"",H29&lt;&gt;""),(VLOOKUP(I29,'1-專案資訊'!A25:I33,4,0)*(E29/J29)*(F29/1000)+VLOOKUP(K29,'1-專案資訊'!A25:I33,4,0)*(F29/L29)*(E29/1000))*2*1.15*H29,0)</f>
        <v/>
      </c>
      <c r="P29" s="75">
        <f>IF(AND(M29&lt;&gt;"",M29&lt;&gt;"無",E29&lt;&gt;"",F29&lt;&gt;"",H29&lt;&gt;""),VLOOKUP(M29,'1-專案資訊'!A38:B48,2,0)*E29*F29/1000000*2*H29,0)</f>
        <v/>
      </c>
      <c r="Q29" s="75">
        <f>IF(AND(E29&lt;&gt;"",F29&lt;&gt;"",H29&lt;&gt;""),2*E29*F29/1000000*H29,0)</f>
        <v/>
      </c>
      <c r="R29" s="75">
        <f>IF(OR(I29="#3 (D10)",I29="#4 (D13)",I29="#5 (D16)"),O29,0)</f>
        <v/>
      </c>
      <c r="S29" s="75">
        <f>IF(AND(I29&lt;&gt;"",I29&lt;&gt;"#3 (D10)",I29&lt;&gt;"#4 (D13)",I29&lt;&gt;"#5 (D16)"),O29,0)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 t="n"/>
      <c r="H30" s="70" t="n"/>
      <c r="I30" s="74" t="n"/>
      <c r="J30" s="70" t="n"/>
      <c r="K30" s="74" t="n"/>
      <c r="L30" s="70" t="n"/>
      <c r="M30" s="74" t="n"/>
      <c r="N30" s="75">
        <f>IF(AND(E30&lt;&gt;"",F30&lt;&gt;"",G30&lt;&gt;"",H30&lt;&gt;""),E30*F30*G30/1000000000*H30,0)</f>
        <v/>
      </c>
      <c r="O30" s="75">
        <f>IF(AND(I30&lt;&gt;"",J30&lt;&gt;"",K30&lt;&gt;"",L30&lt;&gt;"",E30&lt;&gt;"",F30&lt;&gt;"",H30&lt;&gt;""),(VLOOKUP(I30,'1-專案資訊'!A25:I33,4,0)*(E30/J30)*(F30/1000)+VLOOKUP(K30,'1-專案資訊'!A25:I33,4,0)*(F30/L30)*(E30/1000))*2*1.15*H30,0)</f>
        <v/>
      </c>
      <c r="P30" s="75">
        <f>IF(AND(M30&lt;&gt;"",M30&lt;&gt;"無",E30&lt;&gt;"",F30&lt;&gt;"",H30&lt;&gt;""),VLOOKUP(M30,'1-專案資訊'!A38:B48,2,0)*E30*F30/1000000*2*H30,0)</f>
        <v/>
      </c>
      <c r="Q30" s="75">
        <f>IF(AND(E30&lt;&gt;"",F30&lt;&gt;"",H30&lt;&gt;""),2*E30*F30/1000000*H30,0)</f>
        <v/>
      </c>
      <c r="R30" s="75">
        <f>IF(OR(I30="#3 (D10)",I30="#4 (D13)",I30="#5 (D16)"),O30,0)</f>
        <v/>
      </c>
      <c r="S30" s="75">
        <f>IF(AND(I30&lt;&gt;"",I30&lt;&gt;"#3 (D10)",I30&lt;&gt;"#4 (D13)",I30&lt;&gt;"#5 (D16)"),O30,0)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 t="n"/>
      <c r="H31" s="70" t="n"/>
      <c r="I31" s="74" t="n"/>
      <c r="J31" s="70" t="n"/>
      <c r="K31" s="74" t="n"/>
      <c r="L31" s="70" t="n"/>
      <c r="M31" s="74" t="n"/>
      <c r="N31" s="75">
        <f>IF(AND(E31&lt;&gt;"",F31&lt;&gt;"",G31&lt;&gt;"",H31&lt;&gt;""),E31*F31*G31/1000000000*H31,0)</f>
        <v/>
      </c>
      <c r="O31" s="75">
        <f>IF(AND(I31&lt;&gt;"",J31&lt;&gt;"",K31&lt;&gt;"",L31&lt;&gt;"",E31&lt;&gt;"",F31&lt;&gt;"",H31&lt;&gt;""),(VLOOKUP(I31,'1-專案資訊'!A25:I33,4,0)*(E31/J31)*(F31/1000)+VLOOKUP(K31,'1-專案資訊'!A25:I33,4,0)*(F31/L31)*(E31/1000))*2*1.15*H31,0)</f>
        <v/>
      </c>
      <c r="P31" s="75">
        <f>IF(AND(M31&lt;&gt;"",M31&lt;&gt;"無",E31&lt;&gt;"",F31&lt;&gt;"",H31&lt;&gt;""),VLOOKUP(M31,'1-專案資訊'!A38:B48,2,0)*E31*F31/1000000*2*H31,0)</f>
        <v/>
      </c>
      <c r="Q31" s="75">
        <f>IF(AND(E31&lt;&gt;"",F31&lt;&gt;"",H31&lt;&gt;""),2*E31*F31/1000000*H31,0)</f>
        <v/>
      </c>
      <c r="R31" s="75">
        <f>IF(OR(I31="#3 (D10)",I31="#4 (D13)",I31="#5 (D16)"),O31,0)</f>
        <v/>
      </c>
      <c r="S31" s="75">
        <f>IF(AND(I31&lt;&gt;"",I31&lt;&gt;"#3 (D10)",I31&lt;&gt;"#4 (D13)",I31&lt;&gt;"#5 (D16)"),O31,0)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 t="n"/>
      <c r="H32" s="70" t="n"/>
      <c r="I32" s="74" t="n"/>
      <c r="J32" s="70" t="n"/>
      <c r="K32" s="74" t="n"/>
      <c r="L32" s="70" t="n"/>
      <c r="M32" s="74" t="n"/>
      <c r="N32" s="75">
        <f>IF(AND(E32&lt;&gt;"",F32&lt;&gt;"",G32&lt;&gt;"",H32&lt;&gt;""),E32*F32*G32/1000000000*H32,0)</f>
        <v/>
      </c>
      <c r="O32" s="75">
        <f>IF(AND(I32&lt;&gt;"",J32&lt;&gt;"",K32&lt;&gt;"",L32&lt;&gt;"",E32&lt;&gt;"",F32&lt;&gt;"",H32&lt;&gt;""),(VLOOKUP(I32,'1-專案資訊'!A25:I33,4,0)*(E32/J32)*(F32/1000)+VLOOKUP(K32,'1-專案資訊'!A25:I33,4,0)*(F32/L32)*(E32/1000))*2*1.15*H32,0)</f>
        <v/>
      </c>
      <c r="P32" s="75">
        <f>IF(AND(M32&lt;&gt;"",M32&lt;&gt;"無",E32&lt;&gt;"",F32&lt;&gt;"",H32&lt;&gt;""),VLOOKUP(M32,'1-專案資訊'!A38:B48,2,0)*E32*F32/1000000*2*H32,0)</f>
        <v/>
      </c>
      <c r="Q32" s="75">
        <f>IF(AND(E32&lt;&gt;"",F32&lt;&gt;"",H32&lt;&gt;""),2*E32*F32/1000000*H32,0)</f>
        <v/>
      </c>
      <c r="R32" s="75">
        <f>IF(OR(I32="#3 (D10)",I32="#4 (D13)",I32="#5 (D16)"),O32,0)</f>
        <v/>
      </c>
      <c r="S32" s="75">
        <f>IF(AND(I32&lt;&gt;"",I32&lt;&gt;"#3 (D10)",I32&lt;&gt;"#4 (D13)",I32&lt;&gt;"#5 (D16)"),O32,0)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 t="n"/>
      <c r="H33" s="70" t="n"/>
      <c r="I33" s="74" t="n"/>
      <c r="J33" s="70" t="n"/>
      <c r="K33" s="74" t="n"/>
      <c r="L33" s="70" t="n"/>
      <c r="M33" s="74" t="n"/>
      <c r="N33" s="75">
        <f>IF(AND(E33&lt;&gt;"",F33&lt;&gt;"",G33&lt;&gt;"",H33&lt;&gt;""),E33*F33*G33/1000000000*H33,0)</f>
        <v/>
      </c>
      <c r="O33" s="75">
        <f>IF(AND(I33&lt;&gt;"",J33&lt;&gt;"",K33&lt;&gt;"",L33&lt;&gt;"",E33&lt;&gt;"",F33&lt;&gt;"",H33&lt;&gt;""),(VLOOKUP(I33,'1-專案資訊'!A25:I33,4,0)*(E33/J33)*(F33/1000)+VLOOKUP(K33,'1-專案資訊'!A25:I33,4,0)*(F33/L33)*(E33/1000))*2*1.15*H33,0)</f>
        <v/>
      </c>
      <c r="P33" s="75">
        <f>IF(AND(M33&lt;&gt;"",M33&lt;&gt;"無",E33&lt;&gt;"",F33&lt;&gt;"",H33&lt;&gt;""),VLOOKUP(M33,'1-專案資訊'!A38:B48,2,0)*E33*F33/1000000*2*H33,0)</f>
        <v/>
      </c>
      <c r="Q33" s="75">
        <f>IF(AND(E33&lt;&gt;"",F33&lt;&gt;"",H33&lt;&gt;""),2*E33*F33/1000000*H33,0)</f>
        <v/>
      </c>
      <c r="R33" s="75">
        <f>IF(OR(I33="#3 (D10)",I33="#4 (D13)",I33="#5 (D16)"),O33,0)</f>
        <v/>
      </c>
      <c r="S33" s="75">
        <f>IF(AND(I33&lt;&gt;"",I33&lt;&gt;"#3 (D10)",I33&lt;&gt;"#4 (D13)",I33&lt;&gt;"#5 (D16)"),O33,0)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 t="n"/>
      <c r="H34" s="70" t="n"/>
      <c r="I34" s="74" t="n"/>
      <c r="J34" s="70" t="n"/>
      <c r="K34" s="74" t="n"/>
      <c r="L34" s="70" t="n"/>
      <c r="M34" s="74" t="n"/>
      <c r="N34" s="75">
        <f>IF(AND(E34&lt;&gt;"",F34&lt;&gt;"",G34&lt;&gt;"",H34&lt;&gt;""),E34*F34*G34/1000000000*H34,0)</f>
        <v/>
      </c>
      <c r="O34" s="75">
        <f>IF(AND(I34&lt;&gt;"",J34&lt;&gt;"",K34&lt;&gt;"",L34&lt;&gt;"",E34&lt;&gt;"",F34&lt;&gt;"",H34&lt;&gt;""),(VLOOKUP(I34,'1-專案資訊'!A25:I33,4,0)*(E34/J34)*(F34/1000)+VLOOKUP(K34,'1-專案資訊'!A25:I33,4,0)*(F34/L34)*(E34/1000))*2*1.15*H34,0)</f>
        <v/>
      </c>
      <c r="P34" s="75">
        <f>IF(AND(M34&lt;&gt;"",M34&lt;&gt;"無",E34&lt;&gt;"",F34&lt;&gt;"",H34&lt;&gt;""),VLOOKUP(M34,'1-專案資訊'!A38:B48,2,0)*E34*F34/1000000*2*H34,0)</f>
        <v/>
      </c>
      <c r="Q34" s="75">
        <f>IF(AND(E34&lt;&gt;"",F34&lt;&gt;"",H34&lt;&gt;""),2*E34*F34/1000000*H34,0)</f>
        <v/>
      </c>
      <c r="R34" s="75">
        <f>IF(OR(I34="#3 (D10)",I34="#4 (D13)",I34="#5 (D16)"),O34,0)</f>
        <v/>
      </c>
      <c r="S34" s="75">
        <f>IF(AND(I34&lt;&gt;"",I34&lt;&gt;"#3 (D10)",I34&lt;&gt;"#4 (D13)",I34&lt;&gt;"#5 (D16)"),O34,0)</f>
        <v/>
      </c>
    </row>
    <row r="35" ht="16.5" customHeight="1" s="48">
      <c r="B35" s="76" t="inlineStr">
        <is>
          <t>合計</t>
        </is>
      </c>
      <c r="N35" s="77">
        <f>SUM(N5:N34)</f>
        <v/>
      </c>
      <c r="O35" s="77">
        <f>SUM(O5:O34)</f>
        <v/>
      </c>
      <c r="P35" s="77">
        <f>SUM(P5:P34)</f>
        <v/>
      </c>
      <c r="Q35" s="77">
        <f>SUM(Q5:Q34)</f>
        <v/>
      </c>
      <c r="R35" s="77">
        <f>SUM(R5:R34)</f>
        <v/>
      </c>
      <c r="S35" s="77">
        <f>SUM(S5:S34)</f>
        <v/>
      </c>
    </row>
  </sheetData>
  <mergeCells count="2">
    <mergeCell ref="A1:U1"/>
    <mergeCell ref="A2:U2"/>
  </mergeCells>
  <dataValidations count="4">
    <dataValidation sqref="D5:D34" showDropDown="0" showInputMessage="0" showErrorMessage="0" allowBlank="1" type="list" errorStyle="stop" operator="between">
      <formula1>"W-01"</formula1>
      <formula2>0</formula2>
    </dataValidation>
    <dataValidation sqref="I5:I34" showDropDown="0" showInputMessage="0" showErrorMessage="0" allowBlank="1" type="list" errorStyle="stop" operator="between">
      <formula1>"#3 (D10),#4 (D13),#5 (D16),#6 (D19),#7 (D22)"</formula1>
      <formula2>0</formula2>
    </dataValidation>
    <dataValidation sqref="K5:K34" showDropDown="0" showInputMessage="0" showErrorMessage="0" allowBlank="1" type="list" errorStyle="stop" operator="between">
      <formula1>"#3 (D10),#4 (D13),#5 (D16),#6 (D19),#7 (D22)"</formula1>
      <formula2>0</formula2>
    </dataValidation>
    <dataValidation sqref="M5:M34" showDropDown="0" showInputMessage="0" showErrorMessage="0" allowBlank="1" type="list" errorStyle="stop" operator="between">
      <formula1>"無,φ4.0@150x150,φ4.0@200x200"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AC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2"/>
    <col width="10" customWidth="1" style="47" min="3" max="5"/>
    <col width="9" customWidth="1" style="47" min="6" max="8"/>
    <col width="7" customWidth="1" style="47" min="9" max="9"/>
    <col width="12" customWidth="1" style="47" min="10" max="10"/>
    <col width="9" customWidth="1" style="47" min="11" max="11"/>
    <col width="14" customWidth="1" style="47" min="12" max="12"/>
    <col width="11" customWidth="1" style="47" min="13" max="20"/>
    <col width="12" customWidth="1" style="47" min="21" max="22"/>
  </cols>
  <sheetData>
    <row r="1" ht="17.25" customHeight="1" s="48">
      <c r="A1" s="68" t="inlineStr">
        <is>
          <t>地坪 數量計算表</t>
        </is>
      </c>
    </row>
    <row r="2" ht="13.5" customHeight="1" s="48">
      <c r="A2" s="50" t="inlineStr">
        <is>
          <t>含開挖/PC/回填/粉光。混凝土fc'=210。</t>
        </is>
      </c>
    </row>
    <row r="3" ht="15" customHeight="1" s="48">
      <c r="A3" s="51" t="inlineStr">
        <is>
          <t>預設鋼筋長度 (m):</t>
        </is>
      </c>
      <c r="B3" s="71" t="n">
        <v>6</v>
      </c>
      <c r="C3" s="50" t="inlineStr">
        <is>
          <t>← 可調整</t>
        </is>
      </c>
    </row>
    <row r="4" ht="26.2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區域</t>
        </is>
      </c>
      <c r="D4" s="59" t="inlineStr">
        <is>
          <t>▼型式</t>
        </is>
      </c>
      <c r="E4" s="59" t="inlineStr">
        <is>
          <t>長 (cm)</t>
        </is>
      </c>
      <c r="F4" s="59" t="inlineStr">
        <is>
          <t>寬 (cm)</t>
        </is>
      </c>
      <c r="G4" s="59" t="inlineStr">
        <is>
          <t>面積 (m2)</t>
        </is>
      </c>
      <c r="H4" s="60" t="inlineStr">
        <is>
          <t>厚度 (cm)</t>
        </is>
      </c>
      <c r="I4" s="59" t="inlineStr">
        <is>
          <t>開挖深 (cm)</t>
        </is>
      </c>
      <c r="J4" s="59" t="inlineStr">
        <is>
          <t>PC厚 (cm)</t>
        </is>
      </c>
      <c r="K4" s="59" t="inlineStr">
        <is>
          <t>數量</t>
        </is>
      </c>
      <c r="L4" s="59" t="inlineStr">
        <is>
          <t>▼配筋方式</t>
        </is>
      </c>
      <c r="M4" s="59" t="inlineStr">
        <is>
          <t>▼層數</t>
        </is>
      </c>
      <c r="N4" s="60" t="inlineStr">
        <is>
          <t>▼上層筋</t>
        </is>
      </c>
      <c r="O4" s="59" t="inlineStr">
        <is>
          <t>上間距 (cm)</t>
        </is>
      </c>
      <c r="P4" s="59" t="inlineStr">
        <is>
          <t>▼下層筋</t>
        </is>
      </c>
      <c r="Q4" s="59" t="inlineStr">
        <is>
          <t>下間距 (cm)</t>
        </is>
      </c>
      <c r="R4" s="59" t="inlineStr">
        <is>
          <t>▼鋼絲網</t>
        </is>
      </c>
      <c r="S4" s="59" t="inlineStr">
        <is>
          <t>開挖 (m3)</t>
        </is>
      </c>
      <c r="T4" s="59" t="inlineStr">
        <is>
          <t>PC (m3)</t>
        </is>
      </c>
      <c r="U4" s="72" t="inlineStr">
        <is>
          <t>混凝土 (m3)</t>
        </is>
      </c>
      <c r="V4" s="73" t="inlineStr">
        <is>
          <t>回填 (m3)</t>
        </is>
      </c>
      <c r="W4" s="47" t="inlineStr">
        <is>
          <t>上筋重 (kg)</t>
        </is>
      </c>
      <c r="X4" s="47" t="inlineStr">
        <is>
          <t>下筋重 (kg)</t>
        </is>
      </c>
      <c r="Y4" s="47" t="inlineStr">
        <is>
          <t>鋼絲網 (kg)</t>
        </is>
      </c>
      <c r="Z4" s="47" t="inlineStr">
        <is>
          <t>模板 (m2)</t>
        </is>
      </c>
      <c r="AA4" s="47" t="inlineStr">
        <is>
          <t>粉光 (m2)</t>
        </is>
      </c>
      <c r="AB4" s="47" t="inlineStr">
        <is>
          <t>SD280 (kg)</t>
        </is>
      </c>
      <c r="AC4" s="47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>
        <f>IF(AND(E5&lt;&gt;"",F5&lt;&gt;""),E5*F5/10000,"")</f>
        <v/>
      </c>
      <c r="H5" s="70" t="n"/>
      <c r="I5" s="70" t="n"/>
      <c r="J5" s="74" t="n"/>
      <c r="K5" s="70" t="n"/>
      <c r="L5" s="74" t="n"/>
      <c r="M5" s="75" t="n"/>
      <c r="N5" s="75" t="n"/>
      <c r="O5" s="75" t="n"/>
      <c r="P5" s="75" t="n"/>
      <c r="Q5" s="75" t="n"/>
      <c r="R5" s="75" t="n"/>
      <c r="S5" s="75">
        <f>IF(AND(G5&lt;&gt;"",I5&lt;&gt;"",K5&lt;&gt;""),G5*I5/100*K5,0)</f>
        <v/>
      </c>
      <c r="T5" s="75">
        <f>IF(AND(G5&lt;&gt;"",J5&lt;&gt;"",K5&lt;&gt;""),G5*J5/100*K5,0)</f>
        <v/>
      </c>
      <c r="U5" s="75">
        <f>IF(AND(G5&lt;&gt;"",H5&lt;&gt;"",K5&lt;&gt;""),G5*H5/100*K5,0)</f>
        <v/>
      </c>
      <c r="V5" s="75">
        <f>IF(S5&gt;0,S5-T5-U5,0)</f>
        <v/>
      </c>
      <c r="W5" s="47">
        <f>IF(AND(L5="鋼筋",M5=2,N5&lt;&gt;"",O5&lt;&gt;"",G5&lt;&gt;"",K5&lt;&gt;""),VLOOKUP(N5,'1-專案資訊'!A25:I33,4,0)/(O5/100)*2*1.15*G5*K5,0)</f>
        <v/>
      </c>
      <c r="X5" s="47">
        <f>IF(AND(L5="鋼筋",P5&lt;&gt;"",Q5&lt;&gt;"",G5&lt;&gt;"",K5&lt;&gt;""),VLOOKUP(P5,'1-專案資訊'!A25:I33,4,0)/(Q5/100)*2*1.15*G5*K5,0)</f>
        <v/>
      </c>
      <c r="Y5" s="47">
        <f>IF(AND(L5="鋼絲網",R5&lt;&gt;"",G5&lt;&gt;"",K5&lt;&gt;""),VLOOKUP(R5,'1-專案資訊'!A38:B48,2,0)*G5*K5,0)</f>
        <v/>
      </c>
      <c r="Z5" s="47">
        <f>0</f>
        <v/>
      </c>
      <c r="AA5" s="47">
        <f>IF(AND(G5&lt;&gt;"",K5&lt;&gt;""),G5*K5,0)</f>
        <v/>
      </c>
      <c r="AB5" s="47">
        <f>IF(OR(N5="#3 (D10)",N5="#4 (D13)",N5="#5 (D16)"),W5,0)+IF(OR(P5="#3 (D10)",P5="#4 (D13)",P5="#5 (D16)"),X5,0)</f>
        <v/>
      </c>
      <c r="AC5" s="47">
        <f>IF(AND(N5&lt;&gt;"",N5&lt;&gt;"#3 (D10)",N5&lt;&gt;"#4 (D13)",N5&lt;&gt;"#5 (D16)"),W5,0)+IF(AND(P5&lt;&gt;"",P5&lt;&gt;"#3 (D10)",P5&lt;&gt;"#4 (D13)",P5&lt;&gt;"#5 (D16)"),X5,0)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>
        <f>IF(AND(E6&lt;&gt;"",F6&lt;&gt;""),E6*F6/10000,"")</f>
        <v/>
      </c>
      <c r="H6" s="70" t="n"/>
      <c r="I6" s="70" t="n"/>
      <c r="J6" s="74" t="n"/>
      <c r="K6" s="70" t="n"/>
      <c r="L6" s="74" t="n"/>
      <c r="M6" s="75" t="n"/>
      <c r="N6" s="75" t="n"/>
      <c r="O6" s="75" t="n"/>
      <c r="P6" s="75" t="n"/>
      <c r="Q6" s="75" t="n"/>
      <c r="R6" s="75" t="n"/>
      <c r="S6" s="75">
        <f>IF(AND(G6&lt;&gt;"",I6&lt;&gt;"",K6&lt;&gt;""),G6*I6/100*K6,0)</f>
        <v/>
      </c>
      <c r="T6" s="75">
        <f>IF(AND(G6&lt;&gt;"",J6&lt;&gt;"",K6&lt;&gt;""),G6*J6/100*K6,0)</f>
        <v/>
      </c>
      <c r="U6" s="75">
        <f>IF(AND(G6&lt;&gt;"",H6&lt;&gt;"",K6&lt;&gt;""),G6*H6/100*K6,0)</f>
        <v/>
      </c>
      <c r="V6" s="75">
        <f>IF(S6&gt;0,S6-T6-U6,0)</f>
        <v/>
      </c>
      <c r="W6" s="47">
        <f>IF(AND(L6="鋼筋",M6=2,N6&lt;&gt;"",O6&lt;&gt;"",G6&lt;&gt;"",K6&lt;&gt;""),VLOOKUP(N6,'1-專案資訊'!A25:I33,4,0)/(O6/100)*2*1.15*G6*K6,0)</f>
        <v/>
      </c>
      <c r="X6" s="47">
        <f>IF(AND(L6="鋼筋",P6&lt;&gt;"",Q6&lt;&gt;"",G6&lt;&gt;"",K6&lt;&gt;""),VLOOKUP(P6,'1-專案資訊'!A25:I33,4,0)/(Q6/100)*2*1.15*G6*K6,0)</f>
        <v/>
      </c>
      <c r="Y6" s="47">
        <f>IF(AND(L6="鋼絲網",R6&lt;&gt;"",G6&lt;&gt;"",K6&lt;&gt;""),VLOOKUP(R6,'1-專案資訊'!A38:B48,2,0)*G6*K6,0)</f>
        <v/>
      </c>
      <c r="Z6" s="47">
        <f>0</f>
        <v/>
      </c>
      <c r="AA6" s="47">
        <f>IF(AND(G6&lt;&gt;"",K6&lt;&gt;""),G6*K6,0)</f>
        <v/>
      </c>
      <c r="AB6" s="47">
        <f>IF(OR(N6="#3 (D10)",N6="#4 (D13)",N6="#5 (D16)"),W6,0)+IF(OR(P6="#3 (D10)",P6="#4 (D13)",P6="#5 (D16)"),X6,0)</f>
        <v/>
      </c>
      <c r="AC6" s="47">
        <f>IF(AND(N6&lt;&gt;"",N6&lt;&gt;"#3 (D10)",N6&lt;&gt;"#4 (D13)",N6&lt;&gt;"#5 (D16)"),W6,0)+IF(AND(P6&lt;&gt;"",P6&lt;&gt;"#3 (D10)",P6&lt;&gt;"#4 (D13)",P6&lt;&gt;"#5 (D16)"),X6,0)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>
        <f>IF(AND(E7&lt;&gt;"",F7&lt;&gt;""),E7*F7/10000,"")</f>
        <v/>
      </c>
      <c r="H7" s="70" t="n"/>
      <c r="I7" s="70" t="n"/>
      <c r="J7" s="74" t="n"/>
      <c r="K7" s="70" t="n"/>
      <c r="L7" s="74" t="n"/>
      <c r="M7" s="75" t="n"/>
      <c r="N7" s="75" t="n"/>
      <c r="O7" s="75" t="n"/>
      <c r="P7" s="75" t="n"/>
      <c r="Q7" s="75" t="n"/>
      <c r="R7" s="75" t="n"/>
      <c r="S7" s="75">
        <f>IF(AND(G7&lt;&gt;"",I7&lt;&gt;"",K7&lt;&gt;""),G7*I7/100*K7,0)</f>
        <v/>
      </c>
      <c r="T7" s="75">
        <f>IF(AND(G7&lt;&gt;"",J7&lt;&gt;"",K7&lt;&gt;""),G7*J7/100*K7,0)</f>
        <v/>
      </c>
      <c r="U7" s="75">
        <f>IF(AND(G7&lt;&gt;"",H7&lt;&gt;"",K7&lt;&gt;""),G7*H7/100*K7,0)</f>
        <v/>
      </c>
      <c r="V7" s="75">
        <f>IF(S7&gt;0,S7-T7-U7,0)</f>
        <v/>
      </c>
      <c r="W7" s="47">
        <f>IF(AND(L7="鋼筋",M7=2,N7&lt;&gt;"",O7&lt;&gt;"",G7&lt;&gt;"",K7&lt;&gt;""),VLOOKUP(N7,'1-專案資訊'!A25:I33,4,0)/(O7/100)*2*1.15*G7*K7,0)</f>
        <v/>
      </c>
      <c r="X7" s="47">
        <f>IF(AND(L7="鋼筋",P7&lt;&gt;"",Q7&lt;&gt;"",G7&lt;&gt;"",K7&lt;&gt;""),VLOOKUP(P7,'1-專案資訊'!A25:I33,4,0)/(Q7/100)*2*1.15*G7*K7,0)</f>
        <v/>
      </c>
      <c r="Y7" s="47">
        <f>IF(AND(L7="鋼絲網",R7&lt;&gt;"",G7&lt;&gt;"",K7&lt;&gt;""),VLOOKUP(R7,'1-專案資訊'!A38:B48,2,0)*G7*K7,0)</f>
        <v/>
      </c>
      <c r="Z7" s="47">
        <f>0</f>
        <v/>
      </c>
      <c r="AA7" s="47">
        <f>IF(AND(G7&lt;&gt;"",K7&lt;&gt;""),G7*K7,0)</f>
        <v/>
      </c>
      <c r="AB7" s="47">
        <f>IF(OR(N7="#3 (D10)",N7="#4 (D13)",N7="#5 (D16)"),W7,0)+IF(OR(P7="#3 (D10)",P7="#4 (D13)",P7="#5 (D16)"),X7,0)</f>
        <v/>
      </c>
      <c r="AC7" s="47">
        <f>IF(AND(N7&lt;&gt;"",N7&lt;&gt;"#3 (D10)",N7&lt;&gt;"#4 (D13)",N7&lt;&gt;"#5 (D16)"),W7,0)+IF(AND(P7&lt;&gt;"",P7&lt;&gt;"#3 (D10)",P7&lt;&gt;"#4 (D13)",P7&lt;&gt;"#5 (D16)"),X7,0)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>
        <f>IF(AND(E8&lt;&gt;"",F8&lt;&gt;""),E8*F8/10000,"")</f>
        <v/>
      </c>
      <c r="H8" s="70" t="n"/>
      <c r="I8" s="70" t="n"/>
      <c r="J8" s="74" t="n"/>
      <c r="K8" s="70" t="n"/>
      <c r="L8" s="74" t="n"/>
      <c r="M8" s="75" t="n"/>
      <c r="N8" s="75" t="n"/>
      <c r="O8" s="75" t="n"/>
      <c r="P8" s="75" t="n"/>
      <c r="Q8" s="75" t="n"/>
      <c r="R8" s="75" t="n"/>
      <c r="S8" s="75">
        <f>IF(AND(G8&lt;&gt;"",I8&lt;&gt;"",K8&lt;&gt;""),G8*I8/100*K8,0)</f>
        <v/>
      </c>
      <c r="T8" s="75">
        <f>IF(AND(G8&lt;&gt;"",J8&lt;&gt;"",K8&lt;&gt;""),G8*J8/100*K8,0)</f>
        <v/>
      </c>
      <c r="U8" s="75">
        <f>IF(AND(G8&lt;&gt;"",H8&lt;&gt;"",K8&lt;&gt;""),G8*H8/100*K8,0)</f>
        <v/>
      </c>
      <c r="V8" s="75">
        <f>IF(S8&gt;0,S8-T8-U8,0)</f>
        <v/>
      </c>
      <c r="W8" s="47">
        <f>IF(AND(L8="鋼筋",M8=2,N8&lt;&gt;"",O8&lt;&gt;"",G8&lt;&gt;"",K8&lt;&gt;""),VLOOKUP(N8,'1-專案資訊'!A25:I33,4,0)/(O8/100)*2*1.15*G8*K8,0)</f>
        <v/>
      </c>
      <c r="X8" s="47">
        <f>IF(AND(L8="鋼筋",P8&lt;&gt;"",Q8&lt;&gt;"",G8&lt;&gt;"",K8&lt;&gt;""),VLOOKUP(P8,'1-專案資訊'!A25:I33,4,0)/(Q8/100)*2*1.15*G8*K8,0)</f>
        <v/>
      </c>
      <c r="Y8" s="47">
        <f>IF(AND(L8="鋼絲網",R8&lt;&gt;"",G8&lt;&gt;"",K8&lt;&gt;""),VLOOKUP(R8,'1-專案資訊'!A38:B48,2,0)*G8*K8,0)</f>
        <v/>
      </c>
      <c r="Z8" s="47">
        <f>0</f>
        <v/>
      </c>
      <c r="AA8" s="47">
        <f>IF(AND(G8&lt;&gt;"",K8&lt;&gt;""),G8*K8,0)</f>
        <v/>
      </c>
      <c r="AB8" s="47">
        <f>IF(OR(N8="#3 (D10)",N8="#4 (D13)",N8="#5 (D16)"),W8,0)+IF(OR(P8="#3 (D10)",P8="#4 (D13)",P8="#5 (D16)"),X8,0)</f>
        <v/>
      </c>
      <c r="AC8" s="47">
        <f>IF(AND(N8&lt;&gt;"",N8&lt;&gt;"#3 (D10)",N8&lt;&gt;"#4 (D13)",N8&lt;&gt;"#5 (D16)"),W8,0)+IF(AND(P8&lt;&gt;"",P8&lt;&gt;"#3 (D10)",P8&lt;&gt;"#4 (D13)",P8&lt;&gt;"#5 (D16)"),X8,0)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>
        <f>IF(AND(E9&lt;&gt;"",F9&lt;&gt;""),E9*F9/10000,"")</f>
        <v/>
      </c>
      <c r="H9" s="70" t="n"/>
      <c r="I9" s="70" t="n"/>
      <c r="J9" s="74" t="n"/>
      <c r="K9" s="70" t="n"/>
      <c r="L9" s="74" t="n"/>
      <c r="M9" s="75" t="n"/>
      <c r="N9" s="75" t="n"/>
      <c r="O9" s="75" t="n"/>
      <c r="P9" s="75" t="n"/>
      <c r="Q9" s="75" t="n"/>
      <c r="R9" s="75" t="n"/>
      <c r="S9" s="75">
        <f>IF(AND(G9&lt;&gt;"",I9&lt;&gt;"",K9&lt;&gt;""),G9*I9/100*K9,0)</f>
        <v/>
      </c>
      <c r="T9" s="75">
        <f>IF(AND(G9&lt;&gt;"",J9&lt;&gt;"",K9&lt;&gt;""),G9*J9/100*K9,0)</f>
        <v/>
      </c>
      <c r="U9" s="75">
        <f>IF(AND(G9&lt;&gt;"",H9&lt;&gt;"",K9&lt;&gt;""),G9*H9/100*K9,0)</f>
        <v/>
      </c>
      <c r="V9" s="75">
        <f>IF(S9&gt;0,S9-T9-U9,0)</f>
        <v/>
      </c>
      <c r="W9" s="47">
        <f>IF(AND(L9="鋼筋",M9=2,N9&lt;&gt;"",O9&lt;&gt;"",G9&lt;&gt;"",K9&lt;&gt;""),VLOOKUP(N9,'1-專案資訊'!A25:I33,4,0)/(O9/100)*2*1.15*G9*K9,0)</f>
        <v/>
      </c>
      <c r="X9" s="47">
        <f>IF(AND(L9="鋼筋",P9&lt;&gt;"",Q9&lt;&gt;"",G9&lt;&gt;"",K9&lt;&gt;""),VLOOKUP(P9,'1-專案資訊'!A25:I33,4,0)/(Q9/100)*2*1.15*G9*K9,0)</f>
        <v/>
      </c>
      <c r="Y9" s="47">
        <f>IF(AND(L9="鋼絲網",R9&lt;&gt;"",G9&lt;&gt;"",K9&lt;&gt;""),VLOOKUP(R9,'1-專案資訊'!A38:B48,2,0)*G9*K9,0)</f>
        <v/>
      </c>
      <c r="Z9" s="47">
        <f>0</f>
        <v/>
      </c>
      <c r="AA9" s="47">
        <f>IF(AND(G9&lt;&gt;"",K9&lt;&gt;""),G9*K9,0)</f>
        <v/>
      </c>
      <c r="AB9" s="47">
        <f>IF(OR(N9="#3 (D10)",N9="#4 (D13)",N9="#5 (D16)"),W9,0)+IF(OR(P9="#3 (D10)",P9="#4 (D13)",P9="#5 (D16)"),X9,0)</f>
        <v/>
      </c>
      <c r="AC9" s="47">
        <f>IF(AND(N9&lt;&gt;"",N9&lt;&gt;"#3 (D10)",N9&lt;&gt;"#4 (D13)",N9&lt;&gt;"#5 (D16)"),W9,0)+IF(AND(P9&lt;&gt;"",P9&lt;&gt;"#3 (D10)",P9&lt;&gt;"#4 (D13)",P9&lt;&gt;"#5 (D16)"),X9,0)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>
        <f>IF(AND(E10&lt;&gt;"",F10&lt;&gt;""),E10*F10/10000,"")</f>
        <v/>
      </c>
      <c r="H10" s="70" t="n"/>
      <c r="I10" s="70" t="n"/>
      <c r="J10" s="74" t="n"/>
      <c r="K10" s="70" t="n"/>
      <c r="L10" s="74" t="n"/>
      <c r="M10" s="75" t="n"/>
      <c r="N10" s="75" t="n"/>
      <c r="O10" s="75" t="n"/>
      <c r="P10" s="75" t="n"/>
      <c r="Q10" s="75" t="n"/>
      <c r="R10" s="75" t="n"/>
      <c r="S10" s="75">
        <f>IF(AND(G10&lt;&gt;"",I10&lt;&gt;"",K10&lt;&gt;""),G10*I10/100*K10,0)</f>
        <v/>
      </c>
      <c r="T10" s="75">
        <f>IF(AND(G10&lt;&gt;"",J10&lt;&gt;"",K10&lt;&gt;""),G10*J10/100*K10,0)</f>
        <v/>
      </c>
      <c r="U10" s="75">
        <f>IF(AND(G10&lt;&gt;"",H10&lt;&gt;"",K10&lt;&gt;""),G10*H10/100*K10,0)</f>
        <v/>
      </c>
      <c r="V10" s="75">
        <f>IF(S10&gt;0,S10-T10-U10,0)</f>
        <v/>
      </c>
      <c r="W10" s="47">
        <f>IF(AND(L10="鋼筋",M10=2,N10&lt;&gt;"",O10&lt;&gt;"",G10&lt;&gt;"",K10&lt;&gt;""),VLOOKUP(N10,'1-專案資訊'!A25:I33,4,0)/(O10/100)*2*1.15*G10*K10,0)</f>
        <v/>
      </c>
      <c r="X10" s="47">
        <f>IF(AND(L10="鋼筋",P10&lt;&gt;"",Q10&lt;&gt;"",G10&lt;&gt;"",K10&lt;&gt;""),VLOOKUP(P10,'1-專案資訊'!A25:I33,4,0)/(Q10/100)*2*1.15*G10*K10,0)</f>
        <v/>
      </c>
      <c r="Y10" s="47">
        <f>IF(AND(L10="鋼絲網",R10&lt;&gt;"",G10&lt;&gt;"",K10&lt;&gt;""),VLOOKUP(R10,'1-專案資訊'!A38:B48,2,0)*G10*K10,0)</f>
        <v/>
      </c>
      <c r="Z10" s="47">
        <f>0</f>
        <v/>
      </c>
      <c r="AA10" s="47">
        <f>IF(AND(G10&lt;&gt;"",K10&lt;&gt;""),G10*K10,0)</f>
        <v/>
      </c>
      <c r="AB10" s="47">
        <f>IF(OR(N10="#3 (D10)",N10="#4 (D13)",N10="#5 (D16)"),W10,0)+IF(OR(P10="#3 (D10)",P10="#4 (D13)",P10="#5 (D16)"),X10,0)</f>
        <v/>
      </c>
      <c r="AC10" s="47">
        <f>IF(AND(N10&lt;&gt;"",N10&lt;&gt;"#3 (D10)",N10&lt;&gt;"#4 (D13)",N10&lt;&gt;"#5 (D16)"),W10,0)+IF(AND(P10&lt;&gt;"",P10&lt;&gt;"#3 (D10)",P10&lt;&gt;"#4 (D13)",P10&lt;&gt;"#5 (D16)"),X10,0)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>
        <f>IF(AND(E11&lt;&gt;"",F11&lt;&gt;""),E11*F11/10000,"")</f>
        <v/>
      </c>
      <c r="H11" s="70" t="n"/>
      <c r="I11" s="70" t="n"/>
      <c r="J11" s="74" t="n"/>
      <c r="K11" s="70" t="n"/>
      <c r="L11" s="74" t="n"/>
      <c r="M11" s="75" t="n"/>
      <c r="N11" s="75" t="n"/>
      <c r="O11" s="75" t="n"/>
      <c r="P11" s="75" t="n"/>
      <c r="Q11" s="75" t="n"/>
      <c r="R11" s="75" t="n"/>
      <c r="S11" s="75">
        <f>IF(AND(G11&lt;&gt;"",I11&lt;&gt;"",K11&lt;&gt;""),G11*I11/100*K11,0)</f>
        <v/>
      </c>
      <c r="T11" s="75">
        <f>IF(AND(G11&lt;&gt;"",J11&lt;&gt;"",K11&lt;&gt;""),G11*J11/100*K11,0)</f>
        <v/>
      </c>
      <c r="U11" s="75">
        <f>IF(AND(G11&lt;&gt;"",H11&lt;&gt;"",K11&lt;&gt;""),G11*H11/100*K11,0)</f>
        <v/>
      </c>
      <c r="V11" s="75">
        <f>IF(S11&gt;0,S11-T11-U11,0)</f>
        <v/>
      </c>
      <c r="W11" s="47">
        <f>IF(AND(L11="鋼筋",M11=2,N11&lt;&gt;"",O11&lt;&gt;"",G11&lt;&gt;"",K11&lt;&gt;""),VLOOKUP(N11,'1-專案資訊'!A25:I33,4,0)/(O11/100)*2*1.15*G11*K11,0)</f>
        <v/>
      </c>
      <c r="X11" s="47">
        <f>IF(AND(L11="鋼筋",P11&lt;&gt;"",Q11&lt;&gt;"",G11&lt;&gt;"",K11&lt;&gt;""),VLOOKUP(P11,'1-專案資訊'!A25:I33,4,0)/(Q11/100)*2*1.15*G11*K11,0)</f>
        <v/>
      </c>
      <c r="Y11" s="47">
        <f>IF(AND(L11="鋼絲網",R11&lt;&gt;"",G11&lt;&gt;"",K11&lt;&gt;""),VLOOKUP(R11,'1-專案資訊'!A38:B48,2,0)*G11*K11,0)</f>
        <v/>
      </c>
      <c r="Z11" s="47">
        <f>0</f>
        <v/>
      </c>
      <c r="AA11" s="47">
        <f>IF(AND(G11&lt;&gt;"",K11&lt;&gt;""),G11*K11,0)</f>
        <v/>
      </c>
      <c r="AB11" s="47">
        <f>IF(OR(N11="#3 (D10)",N11="#4 (D13)",N11="#5 (D16)"),W11,0)+IF(OR(P11="#3 (D10)",P11="#4 (D13)",P11="#5 (D16)"),X11,0)</f>
        <v/>
      </c>
      <c r="AC11" s="47">
        <f>IF(AND(N11&lt;&gt;"",N11&lt;&gt;"#3 (D10)",N11&lt;&gt;"#4 (D13)",N11&lt;&gt;"#5 (D16)"),W11,0)+IF(AND(P11&lt;&gt;"",P11&lt;&gt;"#3 (D10)",P11&lt;&gt;"#4 (D13)",P11&lt;&gt;"#5 (D16)"),X11,0)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>
        <f>IF(AND(E12&lt;&gt;"",F12&lt;&gt;""),E12*F12/10000,"")</f>
        <v/>
      </c>
      <c r="H12" s="70" t="n"/>
      <c r="I12" s="70" t="n"/>
      <c r="J12" s="74" t="n"/>
      <c r="K12" s="70" t="n"/>
      <c r="L12" s="74" t="n"/>
      <c r="M12" s="75" t="n"/>
      <c r="N12" s="75" t="n"/>
      <c r="O12" s="75" t="n"/>
      <c r="P12" s="75" t="n"/>
      <c r="Q12" s="75" t="n"/>
      <c r="R12" s="75" t="n"/>
      <c r="S12" s="75">
        <f>IF(AND(G12&lt;&gt;"",I12&lt;&gt;"",K12&lt;&gt;""),G12*I12/100*K12,0)</f>
        <v/>
      </c>
      <c r="T12" s="75">
        <f>IF(AND(G12&lt;&gt;"",J12&lt;&gt;"",K12&lt;&gt;""),G12*J12/100*K12,0)</f>
        <v/>
      </c>
      <c r="U12" s="75">
        <f>IF(AND(G12&lt;&gt;"",H12&lt;&gt;"",K12&lt;&gt;""),G12*H12/100*K12,0)</f>
        <v/>
      </c>
      <c r="V12" s="75">
        <f>IF(S12&gt;0,S12-T12-U12,0)</f>
        <v/>
      </c>
      <c r="W12" s="47">
        <f>IF(AND(L12="鋼筋",M12=2,N12&lt;&gt;"",O12&lt;&gt;"",G12&lt;&gt;"",K12&lt;&gt;""),VLOOKUP(N12,'1-專案資訊'!A25:I33,4,0)/(O12/100)*2*1.15*G12*K12,0)</f>
        <v/>
      </c>
      <c r="X12" s="47">
        <f>IF(AND(L12="鋼筋",P12&lt;&gt;"",Q12&lt;&gt;"",G12&lt;&gt;"",K12&lt;&gt;""),VLOOKUP(P12,'1-專案資訊'!A25:I33,4,0)/(Q12/100)*2*1.15*G12*K12,0)</f>
        <v/>
      </c>
      <c r="Y12" s="47">
        <f>IF(AND(L12="鋼絲網",R12&lt;&gt;"",G12&lt;&gt;"",K12&lt;&gt;""),VLOOKUP(R12,'1-專案資訊'!A38:B48,2,0)*G12*K12,0)</f>
        <v/>
      </c>
      <c r="Z12" s="47">
        <f>0</f>
        <v/>
      </c>
      <c r="AA12" s="47">
        <f>IF(AND(G12&lt;&gt;"",K12&lt;&gt;""),G12*K12,0)</f>
        <v/>
      </c>
      <c r="AB12" s="47">
        <f>IF(OR(N12="#3 (D10)",N12="#4 (D13)",N12="#5 (D16)"),W12,0)+IF(OR(P12="#3 (D10)",P12="#4 (D13)",P12="#5 (D16)"),X12,0)</f>
        <v/>
      </c>
      <c r="AC12" s="47">
        <f>IF(AND(N12&lt;&gt;"",N12&lt;&gt;"#3 (D10)",N12&lt;&gt;"#4 (D13)",N12&lt;&gt;"#5 (D16)"),W12,0)+IF(AND(P12&lt;&gt;"",P12&lt;&gt;"#3 (D10)",P12&lt;&gt;"#4 (D13)",P12&lt;&gt;"#5 (D16)"),X12,0)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>
        <f>IF(AND(E13&lt;&gt;"",F13&lt;&gt;""),E13*F13/10000,"")</f>
        <v/>
      </c>
      <c r="H13" s="70" t="n"/>
      <c r="I13" s="70" t="n"/>
      <c r="J13" s="74" t="n"/>
      <c r="K13" s="70" t="n"/>
      <c r="L13" s="74" t="n"/>
      <c r="M13" s="75" t="n"/>
      <c r="N13" s="75" t="n"/>
      <c r="O13" s="75" t="n"/>
      <c r="P13" s="75" t="n"/>
      <c r="Q13" s="75" t="n"/>
      <c r="R13" s="75" t="n"/>
      <c r="S13" s="75">
        <f>IF(AND(G13&lt;&gt;"",I13&lt;&gt;"",K13&lt;&gt;""),G13*I13/100*K13,0)</f>
        <v/>
      </c>
      <c r="T13" s="75">
        <f>IF(AND(G13&lt;&gt;"",J13&lt;&gt;"",K13&lt;&gt;""),G13*J13/100*K13,0)</f>
        <v/>
      </c>
      <c r="U13" s="75">
        <f>IF(AND(G13&lt;&gt;"",H13&lt;&gt;"",K13&lt;&gt;""),G13*H13/100*K13,0)</f>
        <v/>
      </c>
      <c r="V13" s="75">
        <f>IF(S13&gt;0,S13-T13-U13,0)</f>
        <v/>
      </c>
      <c r="W13" s="47">
        <f>IF(AND(L13="鋼筋",M13=2,N13&lt;&gt;"",O13&lt;&gt;"",G13&lt;&gt;"",K13&lt;&gt;""),VLOOKUP(N13,'1-專案資訊'!A25:I33,4,0)/(O13/100)*2*1.15*G13*K13,0)</f>
        <v/>
      </c>
      <c r="X13" s="47">
        <f>IF(AND(L13="鋼筋",P13&lt;&gt;"",Q13&lt;&gt;"",G13&lt;&gt;"",K13&lt;&gt;""),VLOOKUP(P13,'1-專案資訊'!A25:I33,4,0)/(Q13/100)*2*1.15*G13*K13,0)</f>
        <v/>
      </c>
      <c r="Y13" s="47">
        <f>IF(AND(L13="鋼絲網",R13&lt;&gt;"",G13&lt;&gt;"",K13&lt;&gt;""),VLOOKUP(R13,'1-專案資訊'!A38:B48,2,0)*G13*K13,0)</f>
        <v/>
      </c>
      <c r="Z13" s="47">
        <f>0</f>
        <v/>
      </c>
      <c r="AA13" s="47">
        <f>IF(AND(G13&lt;&gt;"",K13&lt;&gt;""),G13*K13,0)</f>
        <v/>
      </c>
      <c r="AB13" s="47">
        <f>IF(OR(N13="#3 (D10)",N13="#4 (D13)",N13="#5 (D16)"),W13,0)+IF(OR(P13="#3 (D10)",P13="#4 (D13)",P13="#5 (D16)"),X13,0)</f>
        <v/>
      </c>
      <c r="AC13" s="47">
        <f>IF(AND(N13&lt;&gt;"",N13&lt;&gt;"#3 (D10)",N13&lt;&gt;"#4 (D13)",N13&lt;&gt;"#5 (D16)"),W13,0)+IF(AND(P13&lt;&gt;"",P13&lt;&gt;"#3 (D10)",P13&lt;&gt;"#4 (D13)",P13&lt;&gt;"#5 (D16)"),X13,0)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>
        <f>IF(AND(E14&lt;&gt;"",F14&lt;&gt;""),E14*F14/10000,"")</f>
        <v/>
      </c>
      <c r="H14" s="70" t="n"/>
      <c r="I14" s="70" t="n"/>
      <c r="J14" s="74" t="n"/>
      <c r="K14" s="70" t="n"/>
      <c r="L14" s="74" t="n"/>
      <c r="M14" s="75" t="n"/>
      <c r="N14" s="75" t="n"/>
      <c r="O14" s="75" t="n"/>
      <c r="P14" s="75" t="n"/>
      <c r="Q14" s="75" t="n"/>
      <c r="R14" s="75" t="n"/>
      <c r="S14" s="75">
        <f>IF(AND(G14&lt;&gt;"",I14&lt;&gt;"",K14&lt;&gt;""),G14*I14/100*K14,0)</f>
        <v/>
      </c>
      <c r="T14" s="75">
        <f>IF(AND(G14&lt;&gt;"",J14&lt;&gt;"",K14&lt;&gt;""),G14*J14/100*K14,0)</f>
        <v/>
      </c>
      <c r="U14" s="75">
        <f>IF(AND(G14&lt;&gt;"",H14&lt;&gt;"",K14&lt;&gt;""),G14*H14/100*K14,0)</f>
        <v/>
      </c>
      <c r="V14" s="75">
        <f>IF(S14&gt;0,S14-T14-U14,0)</f>
        <v/>
      </c>
      <c r="W14" s="47">
        <f>IF(AND(L14="鋼筋",M14=2,N14&lt;&gt;"",O14&lt;&gt;"",G14&lt;&gt;"",K14&lt;&gt;""),VLOOKUP(N14,'1-專案資訊'!A25:I33,4,0)/(O14/100)*2*1.15*G14*K14,0)</f>
        <v/>
      </c>
      <c r="X14" s="47">
        <f>IF(AND(L14="鋼筋",P14&lt;&gt;"",Q14&lt;&gt;"",G14&lt;&gt;"",K14&lt;&gt;""),VLOOKUP(P14,'1-專案資訊'!A25:I33,4,0)/(Q14/100)*2*1.15*G14*K14,0)</f>
        <v/>
      </c>
      <c r="Y14" s="47">
        <f>IF(AND(L14="鋼絲網",R14&lt;&gt;"",G14&lt;&gt;"",K14&lt;&gt;""),VLOOKUP(R14,'1-專案資訊'!A38:B48,2,0)*G14*K14,0)</f>
        <v/>
      </c>
      <c r="Z14" s="47">
        <f>0</f>
        <v/>
      </c>
      <c r="AA14" s="47">
        <f>IF(AND(G14&lt;&gt;"",K14&lt;&gt;""),G14*K14,0)</f>
        <v/>
      </c>
      <c r="AB14" s="47">
        <f>IF(OR(N14="#3 (D10)",N14="#4 (D13)",N14="#5 (D16)"),W14,0)+IF(OR(P14="#3 (D10)",P14="#4 (D13)",P14="#5 (D16)"),X14,0)</f>
        <v/>
      </c>
      <c r="AC14" s="47">
        <f>IF(AND(N14&lt;&gt;"",N14&lt;&gt;"#3 (D10)",N14&lt;&gt;"#4 (D13)",N14&lt;&gt;"#5 (D16)"),W14,0)+IF(AND(P14&lt;&gt;"",P14&lt;&gt;"#3 (D10)",P14&lt;&gt;"#4 (D13)",P14&lt;&gt;"#5 (D16)"),X14,0)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>
        <f>IF(AND(E15&lt;&gt;"",F15&lt;&gt;""),E15*F15/10000,"")</f>
        <v/>
      </c>
      <c r="H15" s="70" t="n"/>
      <c r="I15" s="70" t="n"/>
      <c r="J15" s="74" t="n"/>
      <c r="K15" s="70" t="n"/>
      <c r="L15" s="74" t="n"/>
      <c r="M15" s="75" t="n"/>
      <c r="N15" s="75" t="n"/>
      <c r="O15" s="75" t="n"/>
      <c r="P15" s="75" t="n"/>
      <c r="Q15" s="75" t="n"/>
      <c r="R15" s="75" t="n"/>
      <c r="S15" s="75">
        <f>IF(AND(G15&lt;&gt;"",I15&lt;&gt;"",K15&lt;&gt;""),G15*I15/100*K15,0)</f>
        <v/>
      </c>
      <c r="T15" s="75">
        <f>IF(AND(G15&lt;&gt;"",J15&lt;&gt;"",K15&lt;&gt;""),G15*J15/100*K15,0)</f>
        <v/>
      </c>
      <c r="U15" s="75">
        <f>IF(AND(G15&lt;&gt;"",H15&lt;&gt;"",K15&lt;&gt;""),G15*H15/100*K15,0)</f>
        <v/>
      </c>
      <c r="V15" s="75">
        <f>IF(S15&gt;0,S15-T15-U15,0)</f>
        <v/>
      </c>
      <c r="W15" s="47">
        <f>IF(AND(L15="鋼筋",M15=2,N15&lt;&gt;"",O15&lt;&gt;"",G15&lt;&gt;"",K15&lt;&gt;""),VLOOKUP(N15,'1-專案資訊'!A25:I33,4,0)/(O15/100)*2*1.15*G15*K15,0)</f>
        <v/>
      </c>
      <c r="X15" s="47">
        <f>IF(AND(L15="鋼筋",P15&lt;&gt;"",Q15&lt;&gt;"",G15&lt;&gt;"",K15&lt;&gt;""),VLOOKUP(P15,'1-專案資訊'!A25:I33,4,0)/(Q15/100)*2*1.15*G15*K15,0)</f>
        <v/>
      </c>
      <c r="Y15" s="47">
        <f>IF(AND(L15="鋼絲網",R15&lt;&gt;"",G15&lt;&gt;"",K15&lt;&gt;""),VLOOKUP(R15,'1-專案資訊'!A38:B48,2,0)*G15*K15,0)</f>
        <v/>
      </c>
      <c r="Z15" s="47">
        <f>0</f>
        <v/>
      </c>
      <c r="AA15" s="47">
        <f>IF(AND(G15&lt;&gt;"",K15&lt;&gt;""),G15*K15,0)</f>
        <v/>
      </c>
      <c r="AB15" s="47">
        <f>IF(OR(N15="#3 (D10)",N15="#4 (D13)",N15="#5 (D16)"),W15,0)+IF(OR(P15="#3 (D10)",P15="#4 (D13)",P15="#5 (D16)"),X15,0)</f>
        <v/>
      </c>
      <c r="AC15" s="47">
        <f>IF(AND(N15&lt;&gt;"",N15&lt;&gt;"#3 (D10)",N15&lt;&gt;"#4 (D13)",N15&lt;&gt;"#5 (D16)"),W15,0)+IF(AND(P15&lt;&gt;"",P15&lt;&gt;"#3 (D10)",P15&lt;&gt;"#4 (D13)",P15&lt;&gt;"#5 (D16)"),X15,0)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>
        <f>IF(AND(E16&lt;&gt;"",F16&lt;&gt;""),E16*F16/10000,"")</f>
        <v/>
      </c>
      <c r="H16" s="70" t="n"/>
      <c r="I16" s="70" t="n"/>
      <c r="J16" s="74" t="n"/>
      <c r="K16" s="70" t="n"/>
      <c r="L16" s="74" t="n"/>
      <c r="M16" s="75" t="n"/>
      <c r="N16" s="75" t="n"/>
      <c r="O16" s="75" t="n"/>
      <c r="P16" s="75" t="n"/>
      <c r="Q16" s="75" t="n"/>
      <c r="R16" s="75" t="n"/>
      <c r="S16" s="75">
        <f>IF(AND(G16&lt;&gt;"",I16&lt;&gt;"",K16&lt;&gt;""),G16*I16/100*K16,0)</f>
        <v/>
      </c>
      <c r="T16" s="75">
        <f>IF(AND(G16&lt;&gt;"",J16&lt;&gt;"",K16&lt;&gt;""),G16*J16/100*K16,0)</f>
        <v/>
      </c>
      <c r="U16" s="75">
        <f>IF(AND(G16&lt;&gt;"",H16&lt;&gt;"",K16&lt;&gt;""),G16*H16/100*K16,0)</f>
        <v/>
      </c>
      <c r="V16" s="75">
        <f>IF(S16&gt;0,S16-T16-U16,0)</f>
        <v/>
      </c>
      <c r="W16" s="47">
        <f>IF(AND(L16="鋼筋",M16=2,N16&lt;&gt;"",O16&lt;&gt;"",G16&lt;&gt;"",K16&lt;&gt;""),VLOOKUP(N16,'1-專案資訊'!A25:I33,4,0)/(O16/100)*2*1.15*G16*K16,0)</f>
        <v/>
      </c>
      <c r="X16" s="47">
        <f>IF(AND(L16="鋼筋",P16&lt;&gt;"",Q16&lt;&gt;"",G16&lt;&gt;"",K16&lt;&gt;""),VLOOKUP(P16,'1-專案資訊'!A25:I33,4,0)/(Q16/100)*2*1.15*G16*K16,0)</f>
        <v/>
      </c>
      <c r="Y16" s="47">
        <f>IF(AND(L16="鋼絲網",R16&lt;&gt;"",G16&lt;&gt;"",K16&lt;&gt;""),VLOOKUP(R16,'1-專案資訊'!A38:B48,2,0)*G16*K16,0)</f>
        <v/>
      </c>
      <c r="Z16" s="47">
        <f>0</f>
        <v/>
      </c>
      <c r="AA16" s="47">
        <f>IF(AND(G16&lt;&gt;"",K16&lt;&gt;""),G16*K16,0)</f>
        <v/>
      </c>
      <c r="AB16" s="47">
        <f>IF(OR(N16="#3 (D10)",N16="#4 (D13)",N16="#5 (D16)"),W16,0)+IF(OR(P16="#3 (D10)",P16="#4 (D13)",P16="#5 (D16)"),X16,0)</f>
        <v/>
      </c>
      <c r="AC16" s="47">
        <f>IF(AND(N16&lt;&gt;"",N16&lt;&gt;"#3 (D10)",N16&lt;&gt;"#4 (D13)",N16&lt;&gt;"#5 (D16)"),W16,0)+IF(AND(P16&lt;&gt;"",P16&lt;&gt;"#3 (D10)",P16&lt;&gt;"#4 (D13)",P16&lt;&gt;"#5 (D16)"),X16,0)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>
        <f>IF(AND(E17&lt;&gt;"",F17&lt;&gt;""),E17*F17/10000,"")</f>
        <v/>
      </c>
      <c r="H17" s="70" t="n"/>
      <c r="I17" s="70" t="n"/>
      <c r="J17" s="74" t="n"/>
      <c r="K17" s="70" t="n"/>
      <c r="L17" s="74" t="n"/>
      <c r="M17" s="75" t="n"/>
      <c r="N17" s="75" t="n"/>
      <c r="O17" s="75" t="n"/>
      <c r="P17" s="75" t="n"/>
      <c r="Q17" s="75" t="n"/>
      <c r="R17" s="75" t="n"/>
      <c r="S17" s="75">
        <f>IF(AND(G17&lt;&gt;"",I17&lt;&gt;"",K17&lt;&gt;""),G17*I17/100*K17,0)</f>
        <v/>
      </c>
      <c r="T17" s="75">
        <f>IF(AND(G17&lt;&gt;"",J17&lt;&gt;"",K17&lt;&gt;""),G17*J17/100*K17,0)</f>
        <v/>
      </c>
      <c r="U17" s="75">
        <f>IF(AND(G17&lt;&gt;"",H17&lt;&gt;"",K17&lt;&gt;""),G17*H17/100*K17,0)</f>
        <v/>
      </c>
      <c r="V17" s="75">
        <f>IF(S17&gt;0,S17-T17-U17,0)</f>
        <v/>
      </c>
      <c r="W17" s="47">
        <f>IF(AND(L17="鋼筋",M17=2,N17&lt;&gt;"",O17&lt;&gt;"",G17&lt;&gt;"",K17&lt;&gt;""),VLOOKUP(N17,'1-專案資訊'!A25:I33,4,0)/(O17/100)*2*1.15*G17*K17,0)</f>
        <v/>
      </c>
      <c r="X17" s="47">
        <f>IF(AND(L17="鋼筋",P17&lt;&gt;"",Q17&lt;&gt;"",G17&lt;&gt;"",K17&lt;&gt;""),VLOOKUP(P17,'1-專案資訊'!A25:I33,4,0)/(Q17/100)*2*1.15*G17*K17,0)</f>
        <v/>
      </c>
      <c r="Y17" s="47">
        <f>IF(AND(L17="鋼絲網",R17&lt;&gt;"",G17&lt;&gt;"",K17&lt;&gt;""),VLOOKUP(R17,'1-專案資訊'!A38:B48,2,0)*G17*K17,0)</f>
        <v/>
      </c>
      <c r="Z17" s="47">
        <f>0</f>
        <v/>
      </c>
      <c r="AA17" s="47">
        <f>IF(AND(G17&lt;&gt;"",K17&lt;&gt;""),G17*K17,0)</f>
        <v/>
      </c>
      <c r="AB17" s="47">
        <f>IF(OR(N17="#3 (D10)",N17="#4 (D13)",N17="#5 (D16)"),W17,0)+IF(OR(P17="#3 (D10)",P17="#4 (D13)",P17="#5 (D16)"),X17,0)</f>
        <v/>
      </c>
      <c r="AC17" s="47">
        <f>IF(AND(N17&lt;&gt;"",N17&lt;&gt;"#3 (D10)",N17&lt;&gt;"#4 (D13)",N17&lt;&gt;"#5 (D16)"),W17,0)+IF(AND(P17&lt;&gt;"",P17&lt;&gt;"#3 (D10)",P17&lt;&gt;"#4 (D13)",P17&lt;&gt;"#5 (D16)"),X17,0)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>
        <f>IF(AND(E18&lt;&gt;"",F18&lt;&gt;""),E18*F18/10000,"")</f>
        <v/>
      </c>
      <c r="H18" s="70" t="n"/>
      <c r="I18" s="70" t="n"/>
      <c r="J18" s="74" t="n"/>
      <c r="K18" s="70" t="n"/>
      <c r="L18" s="74" t="n"/>
      <c r="M18" s="75" t="n"/>
      <c r="N18" s="75" t="n"/>
      <c r="O18" s="75" t="n"/>
      <c r="P18" s="75" t="n"/>
      <c r="Q18" s="75" t="n"/>
      <c r="R18" s="75" t="n"/>
      <c r="S18" s="75">
        <f>IF(AND(G18&lt;&gt;"",I18&lt;&gt;"",K18&lt;&gt;""),G18*I18/100*K18,0)</f>
        <v/>
      </c>
      <c r="T18" s="75">
        <f>IF(AND(G18&lt;&gt;"",J18&lt;&gt;"",K18&lt;&gt;""),G18*J18/100*K18,0)</f>
        <v/>
      </c>
      <c r="U18" s="75">
        <f>IF(AND(G18&lt;&gt;"",H18&lt;&gt;"",K18&lt;&gt;""),G18*H18/100*K18,0)</f>
        <v/>
      </c>
      <c r="V18" s="75">
        <f>IF(S18&gt;0,S18-T18-U18,0)</f>
        <v/>
      </c>
      <c r="W18" s="47">
        <f>IF(AND(L18="鋼筋",M18=2,N18&lt;&gt;"",O18&lt;&gt;"",G18&lt;&gt;"",K18&lt;&gt;""),VLOOKUP(N18,'1-專案資訊'!A25:I33,4,0)/(O18/100)*2*1.15*G18*K18,0)</f>
        <v/>
      </c>
      <c r="X18" s="47">
        <f>IF(AND(L18="鋼筋",P18&lt;&gt;"",Q18&lt;&gt;"",G18&lt;&gt;"",K18&lt;&gt;""),VLOOKUP(P18,'1-專案資訊'!A25:I33,4,0)/(Q18/100)*2*1.15*G18*K18,0)</f>
        <v/>
      </c>
      <c r="Y18" s="47">
        <f>IF(AND(L18="鋼絲網",R18&lt;&gt;"",G18&lt;&gt;"",K18&lt;&gt;""),VLOOKUP(R18,'1-專案資訊'!A38:B48,2,0)*G18*K18,0)</f>
        <v/>
      </c>
      <c r="Z18" s="47">
        <f>0</f>
        <v/>
      </c>
      <c r="AA18" s="47">
        <f>IF(AND(G18&lt;&gt;"",K18&lt;&gt;""),G18*K18,0)</f>
        <v/>
      </c>
      <c r="AB18" s="47">
        <f>IF(OR(N18="#3 (D10)",N18="#4 (D13)",N18="#5 (D16)"),W18,0)+IF(OR(P18="#3 (D10)",P18="#4 (D13)",P18="#5 (D16)"),X18,0)</f>
        <v/>
      </c>
      <c r="AC18" s="47">
        <f>IF(AND(N18&lt;&gt;"",N18&lt;&gt;"#3 (D10)",N18&lt;&gt;"#4 (D13)",N18&lt;&gt;"#5 (D16)"),W18,0)+IF(AND(P18&lt;&gt;"",P18&lt;&gt;"#3 (D10)",P18&lt;&gt;"#4 (D13)",P18&lt;&gt;"#5 (D16)"),X18,0)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>
        <f>IF(AND(E19&lt;&gt;"",F19&lt;&gt;""),E19*F19/10000,"")</f>
        <v/>
      </c>
      <c r="H19" s="70" t="n"/>
      <c r="I19" s="70" t="n"/>
      <c r="J19" s="74" t="n"/>
      <c r="K19" s="70" t="n"/>
      <c r="L19" s="74" t="n"/>
      <c r="M19" s="75" t="n"/>
      <c r="N19" s="75" t="n"/>
      <c r="O19" s="75" t="n"/>
      <c r="P19" s="75" t="n"/>
      <c r="Q19" s="75" t="n"/>
      <c r="R19" s="75" t="n"/>
      <c r="S19" s="75">
        <f>IF(AND(G19&lt;&gt;"",I19&lt;&gt;"",K19&lt;&gt;""),G19*I19/100*K19,0)</f>
        <v/>
      </c>
      <c r="T19" s="75">
        <f>IF(AND(G19&lt;&gt;"",J19&lt;&gt;"",K19&lt;&gt;""),G19*J19/100*K19,0)</f>
        <v/>
      </c>
      <c r="U19" s="75">
        <f>IF(AND(G19&lt;&gt;"",H19&lt;&gt;"",K19&lt;&gt;""),G19*H19/100*K19,0)</f>
        <v/>
      </c>
      <c r="V19" s="75">
        <f>IF(S19&gt;0,S19-T19-U19,0)</f>
        <v/>
      </c>
      <c r="W19" s="47">
        <f>IF(AND(L19="鋼筋",M19=2,N19&lt;&gt;"",O19&lt;&gt;"",G19&lt;&gt;"",K19&lt;&gt;""),VLOOKUP(N19,'1-專案資訊'!A25:I33,4,0)/(O19/100)*2*1.15*G19*K19,0)</f>
        <v/>
      </c>
      <c r="X19" s="47">
        <f>IF(AND(L19="鋼筋",P19&lt;&gt;"",Q19&lt;&gt;"",G19&lt;&gt;"",K19&lt;&gt;""),VLOOKUP(P19,'1-專案資訊'!A25:I33,4,0)/(Q19/100)*2*1.15*G19*K19,0)</f>
        <v/>
      </c>
      <c r="Y19" s="47">
        <f>IF(AND(L19="鋼絲網",R19&lt;&gt;"",G19&lt;&gt;"",K19&lt;&gt;""),VLOOKUP(R19,'1-專案資訊'!A38:B48,2,0)*G19*K19,0)</f>
        <v/>
      </c>
      <c r="Z19" s="47">
        <f>0</f>
        <v/>
      </c>
      <c r="AA19" s="47">
        <f>IF(AND(G19&lt;&gt;"",K19&lt;&gt;""),G19*K19,0)</f>
        <v/>
      </c>
      <c r="AB19" s="47">
        <f>IF(OR(N19="#3 (D10)",N19="#4 (D13)",N19="#5 (D16)"),W19,0)+IF(OR(P19="#3 (D10)",P19="#4 (D13)",P19="#5 (D16)"),X19,0)</f>
        <v/>
      </c>
      <c r="AC19" s="47">
        <f>IF(AND(N19&lt;&gt;"",N19&lt;&gt;"#3 (D10)",N19&lt;&gt;"#4 (D13)",N19&lt;&gt;"#5 (D16)"),W19,0)+IF(AND(P19&lt;&gt;"",P19&lt;&gt;"#3 (D10)",P19&lt;&gt;"#4 (D13)",P19&lt;&gt;"#5 (D16)"),X19,0)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>
        <f>IF(AND(E20&lt;&gt;"",F20&lt;&gt;""),E20*F20/10000,"")</f>
        <v/>
      </c>
      <c r="H20" s="70" t="n"/>
      <c r="I20" s="70" t="n"/>
      <c r="J20" s="74" t="n"/>
      <c r="K20" s="70" t="n"/>
      <c r="L20" s="74" t="n"/>
      <c r="M20" s="75" t="n"/>
      <c r="N20" s="75" t="n"/>
      <c r="O20" s="75" t="n"/>
      <c r="P20" s="75" t="n"/>
      <c r="Q20" s="75" t="n"/>
      <c r="R20" s="75" t="n"/>
      <c r="S20" s="75">
        <f>IF(AND(G20&lt;&gt;"",I20&lt;&gt;"",K20&lt;&gt;""),G20*I20/100*K20,0)</f>
        <v/>
      </c>
      <c r="T20" s="75">
        <f>IF(AND(G20&lt;&gt;"",J20&lt;&gt;"",K20&lt;&gt;""),G20*J20/100*K20,0)</f>
        <v/>
      </c>
      <c r="U20" s="75">
        <f>IF(AND(G20&lt;&gt;"",H20&lt;&gt;"",K20&lt;&gt;""),G20*H20/100*K20,0)</f>
        <v/>
      </c>
      <c r="V20" s="75">
        <f>IF(S20&gt;0,S20-T20-U20,0)</f>
        <v/>
      </c>
      <c r="W20" s="47">
        <f>IF(AND(L20="鋼筋",M20=2,N20&lt;&gt;"",O20&lt;&gt;"",G20&lt;&gt;"",K20&lt;&gt;""),VLOOKUP(N20,'1-專案資訊'!A25:I33,4,0)/(O20/100)*2*1.15*G20*K20,0)</f>
        <v/>
      </c>
      <c r="X20" s="47">
        <f>IF(AND(L20="鋼筋",P20&lt;&gt;"",Q20&lt;&gt;"",G20&lt;&gt;"",K20&lt;&gt;""),VLOOKUP(P20,'1-專案資訊'!A25:I33,4,0)/(Q20/100)*2*1.15*G20*K20,0)</f>
        <v/>
      </c>
      <c r="Y20" s="47">
        <f>IF(AND(L20="鋼絲網",R20&lt;&gt;"",G20&lt;&gt;"",K20&lt;&gt;""),VLOOKUP(R20,'1-專案資訊'!A38:B48,2,0)*G20*K20,0)</f>
        <v/>
      </c>
      <c r="Z20" s="47">
        <f>0</f>
        <v/>
      </c>
      <c r="AA20" s="47">
        <f>IF(AND(G20&lt;&gt;"",K20&lt;&gt;""),G20*K20,0)</f>
        <v/>
      </c>
      <c r="AB20" s="47">
        <f>IF(OR(N20="#3 (D10)",N20="#4 (D13)",N20="#5 (D16)"),W20,0)+IF(OR(P20="#3 (D10)",P20="#4 (D13)",P20="#5 (D16)"),X20,0)</f>
        <v/>
      </c>
      <c r="AC20" s="47">
        <f>IF(AND(N20&lt;&gt;"",N20&lt;&gt;"#3 (D10)",N20&lt;&gt;"#4 (D13)",N20&lt;&gt;"#5 (D16)"),W20,0)+IF(AND(P20&lt;&gt;"",P20&lt;&gt;"#3 (D10)",P20&lt;&gt;"#4 (D13)",P20&lt;&gt;"#5 (D16)"),X20,0)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>
        <f>IF(AND(E21&lt;&gt;"",F21&lt;&gt;""),E21*F21/10000,"")</f>
        <v/>
      </c>
      <c r="H21" s="70" t="n"/>
      <c r="I21" s="70" t="n"/>
      <c r="J21" s="74" t="n"/>
      <c r="K21" s="70" t="n"/>
      <c r="L21" s="74" t="n"/>
      <c r="M21" s="75" t="n"/>
      <c r="N21" s="75" t="n"/>
      <c r="O21" s="75" t="n"/>
      <c r="P21" s="75" t="n"/>
      <c r="Q21" s="75" t="n"/>
      <c r="R21" s="75" t="n"/>
      <c r="S21" s="75">
        <f>IF(AND(G21&lt;&gt;"",I21&lt;&gt;"",K21&lt;&gt;""),G21*I21/100*K21,0)</f>
        <v/>
      </c>
      <c r="T21" s="75">
        <f>IF(AND(G21&lt;&gt;"",J21&lt;&gt;"",K21&lt;&gt;""),G21*J21/100*K21,0)</f>
        <v/>
      </c>
      <c r="U21" s="75">
        <f>IF(AND(G21&lt;&gt;"",H21&lt;&gt;"",K21&lt;&gt;""),G21*H21/100*K21,0)</f>
        <v/>
      </c>
      <c r="V21" s="75">
        <f>IF(S21&gt;0,S21-T21-U21,0)</f>
        <v/>
      </c>
      <c r="W21" s="47">
        <f>IF(AND(L21="鋼筋",M21=2,N21&lt;&gt;"",O21&lt;&gt;"",G21&lt;&gt;"",K21&lt;&gt;""),VLOOKUP(N21,'1-專案資訊'!A25:I33,4,0)/(O21/100)*2*1.15*G21*K21,0)</f>
        <v/>
      </c>
      <c r="X21" s="47">
        <f>IF(AND(L21="鋼筋",P21&lt;&gt;"",Q21&lt;&gt;"",G21&lt;&gt;"",K21&lt;&gt;""),VLOOKUP(P21,'1-專案資訊'!A25:I33,4,0)/(Q21/100)*2*1.15*G21*K21,0)</f>
        <v/>
      </c>
      <c r="Y21" s="47">
        <f>IF(AND(L21="鋼絲網",R21&lt;&gt;"",G21&lt;&gt;"",K21&lt;&gt;""),VLOOKUP(R21,'1-專案資訊'!A38:B48,2,0)*G21*K21,0)</f>
        <v/>
      </c>
      <c r="Z21" s="47">
        <f>0</f>
        <v/>
      </c>
      <c r="AA21" s="47">
        <f>IF(AND(G21&lt;&gt;"",K21&lt;&gt;""),G21*K21,0)</f>
        <v/>
      </c>
      <c r="AB21" s="47">
        <f>IF(OR(N21="#3 (D10)",N21="#4 (D13)",N21="#5 (D16)"),W21,0)+IF(OR(P21="#3 (D10)",P21="#4 (D13)",P21="#5 (D16)"),X21,0)</f>
        <v/>
      </c>
      <c r="AC21" s="47">
        <f>IF(AND(N21&lt;&gt;"",N21&lt;&gt;"#3 (D10)",N21&lt;&gt;"#4 (D13)",N21&lt;&gt;"#5 (D16)"),W21,0)+IF(AND(P21&lt;&gt;"",P21&lt;&gt;"#3 (D10)",P21&lt;&gt;"#4 (D13)",P21&lt;&gt;"#5 (D16)"),X21,0)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>
        <f>IF(AND(E22&lt;&gt;"",F22&lt;&gt;""),E22*F22/10000,"")</f>
        <v/>
      </c>
      <c r="H22" s="70" t="n"/>
      <c r="I22" s="70" t="n"/>
      <c r="J22" s="74" t="n"/>
      <c r="K22" s="70" t="n"/>
      <c r="L22" s="74" t="n"/>
      <c r="M22" s="75" t="n"/>
      <c r="N22" s="75" t="n"/>
      <c r="O22" s="75" t="n"/>
      <c r="P22" s="75" t="n"/>
      <c r="Q22" s="75" t="n"/>
      <c r="R22" s="75" t="n"/>
      <c r="S22" s="75">
        <f>IF(AND(G22&lt;&gt;"",I22&lt;&gt;"",K22&lt;&gt;""),G22*I22/100*K22,0)</f>
        <v/>
      </c>
      <c r="T22" s="75">
        <f>IF(AND(G22&lt;&gt;"",J22&lt;&gt;"",K22&lt;&gt;""),G22*J22/100*K22,0)</f>
        <v/>
      </c>
      <c r="U22" s="75">
        <f>IF(AND(G22&lt;&gt;"",H22&lt;&gt;"",K22&lt;&gt;""),G22*H22/100*K22,0)</f>
        <v/>
      </c>
      <c r="V22" s="75">
        <f>IF(S22&gt;0,S22-T22-U22,0)</f>
        <v/>
      </c>
      <c r="W22" s="47">
        <f>IF(AND(L22="鋼筋",M22=2,N22&lt;&gt;"",O22&lt;&gt;"",G22&lt;&gt;"",K22&lt;&gt;""),VLOOKUP(N22,'1-專案資訊'!A25:I33,4,0)/(O22/100)*2*1.15*G22*K22,0)</f>
        <v/>
      </c>
      <c r="X22" s="47">
        <f>IF(AND(L22="鋼筋",P22&lt;&gt;"",Q22&lt;&gt;"",G22&lt;&gt;"",K22&lt;&gt;""),VLOOKUP(P22,'1-專案資訊'!A25:I33,4,0)/(Q22/100)*2*1.15*G22*K22,0)</f>
        <v/>
      </c>
      <c r="Y22" s="47">
        <f>IF(AND(L22="鋼絲網",R22&lt;&gt;"",G22&lt;&gt;"",K22&lt;&gt;""),VLOOKUP(R22,'1-專案資訊'!A38:B48,2,0)*G22*K22,0)</f>
        <v/>
      </c>
      <c r="Z22" s="47">
        <f>0</f>
        <v/>
      </c>
      <c r="AA22" s="47">
        <f>IF(AND(G22&lt;&gt;"",K22&lt;&gt;""),G22*K22,0)</f>
        <v/>
      </c>
      <c r="AB22" s="47">
        <f>IF(OR(N22="#3 (D10)",N22="#4 (D13)",N22="#5 (D16)"),W22,0)+IF(OR(P22="#3 (D10)",P22="#4 (D13)",P22="#5 (D16)"),X22,0)</f>
        <v/>
      </c>
      <c r="AC22" s="47">
        <f>IF(AND(N22&lt;&gt;"",N22&lt;&gt;"#3 (D10)",N22&lt;&gt;"#4 (D13)",N22&lt;&gt;"#5 (D16)"),W22,0)+IF(AND(P22&lt;&gt;"",P22&lt;&gt;"#3 (D10)",P22&lt;&gt;"#4 (D13)",P22&lt;&gt;"#5 (D16)"),X22,0)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>
        <f>IF(AND(E23&lt;&gt;"",F23&lt;&gt;""),E23*F23/10000,"")</f>
        <v/>
      </c>
      <c r="H23" s="70" t="n"/>
      <c r="I23" s="70" t="n"/>
      <c r="J23" s="74" t="n"/>
      <c r="K23" s="70" t="n"/>
      <c r="L23" s="74" t="n"/>
      <c r="M23" s="75" t="n"/>
      <c r="N23" s="75" t="n"/>
      <c r="O23" s="75" t="n"/>
      <c r="P23" s="75" t="n"/>
      <c r="Q23" s="75" t="n"/>
      <c r="R23" s="75" t="n"/>
      <c r="S23" s="75">
        <f>IF(AND(G23&lt;&gt;"",I23&lt;&gt;"",K23&lt;&gt;""),G23*I23/100*K23,0)</f>
        <v/>
      </c>
      <c r="T23" s="75">
        <f>IF(AND(G23&lt;&gt;"",J23&lt;&gt;"",K23&lt;&gt;""),G23*J23/100*K23,0)</f>
        <v/>
      </c>
      <c r="U23" s="75">
        <f>IF(AND(G23&lt;&gt;"",H23&lt;&gt;"",K23&lt;&gt;""),G23*H23/100*K23,0)</f>
        <v/>
      </c>
      <c r="V23" s="75">
        <f>IF(S23&gt;0,S23-T23-U23,0)</f>
        <v/>
      </c>
      <c r="W23" s="47">
        <f>IF(AND(L23="鋼筋",M23=2,N23&lt;&gt;"",O23&lt;&gt;"",G23&lt;&gt;"",K23&lt;&gt;""),VLOOKUP(N23,'1-專案資訊'!A25:I33,4,0)/(O23/100)*2*1.15*G23*K23,0)</f>
        <v/>
      </c>
      <c r="X23" s="47">
        <f>IF(AND(L23="鋼筋",P23&lt;&gt;"",Q23&lt;&gt;"",G23&lt;&gt;"",K23&lt;&gt;""),VLOOKUP(P23,'1-專案資訊'!A25:I33,4,0)/(Q23/100)*2*1.15*G23*K23,0)</f>
        <v/>
      </c>
      <c r="Y23" s="47">
        <f>IF(AND(L23="鋼絲網",R23&lt;&gt;"",G23&lt;&gt;"",K23&lt;&gt;""),VLOOKUP(R23,'1-專案資訊'!A38:B48,2,0)*G23*K23,0)</f>
        <v/>
      </c>
      <c r="Z23" s="47">
        <f>0</f>
        <v/>
      </c>
      <c r="AA23" s="47">
        <f>IF(AND(G23&lt;&gt;"",K23&lt;&gt;""),G23*K23,0)</f>
        <v/>
      </c>
      <c r="AB23" s="47">
        <f>IF(OR(N23="#3 (D10)",N23="#4 (D13)",N23="#5 (D16)"),W23,0)+IF(OR(P23="#3 (D10)",P23="#4 (D13)",P23="#5 (D16)"),X23,0)</f>
        <v/>
      </c>
      <c r="AC23" s="47">
        <f>IF(AND(N23&lt;&gt;"",N23&lt;&gt;"#3 (D10)",N23&lt;&gt;"#4 (D13)",N23&lt;&gt;"#5 (D16)"),W23,0)+IF(AND(P23&lt;&gt;"",P23&lt;&gt;"#3 (D10)",P23&lt;&gt;"#4 (D13)",P23&lt;&gt;"#5 (D16)"),X23,0)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>
        <f>IF(AND(E24&lt;&gt;"",F24&lt;&gt;""),E24*F24/10000,"")</f>
        <v/>
      </c>
      <c r="H24" s="70" t="n"/>
      <c r="I24" s="70" t="n"/>
      <c r="J24" s="74" t="n"/>
      <c r="K24" s="70" t="n"/>
      <c r="L24" s="74" t="n"/>
      <c r="M24" s="75" t="n"/>
      <c r="N24" s="75" t="n"/>
      <c r="O24" s="75" t="n"/>
      <c r="P24" s="75" t="n"/>
      <c r="Q24" s="75" t="n"/>
      <c r="R24" s="75" t="n"/>
      <c r="S24" s="75">
        <f>IF(AND(G24&lt;&gt;"",I24&lt;&gt;"",K24&lt;&gt;""),G24*I24/100*K24,0)</f>
        <v/>
      </c>
      <c r="T24" s="75">
        <f>IF(AND(G24&lt;&gt;"",J24&lt;&gt;"",K24&lt;&gt;""),G24*J24/100*K24,0)</f>
        <v/>
      </c>
      <c r="U24" s="75">
        <f>IF(AND(G24&lt;&gt;"",H24&lt;&gt;"",K24&lt;&gt;""),G24*H24/100*K24,0)</f>
        <v/>
      </c>
      <c r="V24" s="75">
        <f>IF(S24&gt;0,S24-T24-U24,0)</f>
        <v/>
      </c>
      <c r="W24" s="47">
        <f>IF(AND(L24="鋼筋",M24=2,N24&lt;&gt;"",O24&lt;&gt;"",G24&lt;&gt;"",K24&lt;&gt;""),VLOOKUP(N24,'1-專案資訊'!A25:I33,4,0)/(O24/100)*2*1.15*G24*K24,0)</f>
        <v/>
      </c>
      <c r="X24" s="47">
        <f>IF(AND(L24="鋼筋",P24&lt;&gt;"",Q24&lt;&gt;"",G24&lt;&gt;"",K24&lt;&gt;""),VLOOKUP(P24,'1-專案資訊'!A25:I33,4,0)/(Q24/100)*2*1.15*G24*K24,0)</f>
        <v/>
      </c>
      <c r="Y24" s="47">
        <f>IF(AND(L24="鋼絲網",R24&lt;&gt;"",G24&lt;&gt;"",K24&lt;&gt;""),VLOOKUP(R24,'1-專案資訊'!A38:B48,2,0)*G24*K24,0)</f>
        <v/>
      </c>
      <c r="Z24" s="47">
        <f>0</f>
        <v/>
      </c>
      <c r="AA24" s="47">
        <f>IF(AND(G24&lt;&gt;"",K24&lt;&gt;""),G24*K24,0)</f>
        <v/>
      </c>
      <c r="AB24" s="47">
        <f>IF(OR(N24="#3 (D10)",N24="#4 (D13)",N24="#5 (D16)"),W24,0)+IF(OR(P24="#3 (D10)",P24="#4 (D13)",P24="#5 (D16)"),X24,0)</f>
        <v/>
      </c>
      <c r="AC24" s="47">
        <f>IF(AND(N24&lt;&gt;"",N24&lt;&gt;"#3 (D10)",N24&lt;&gt;"#4 (D13)",N24&lt;&gt;"#5 (D16)"),W24,0)+IF(AND(P24&lt;&gt;"",P24&lt;&gt;"#3 (D10)",P24&lt;&gt;"#4 (D13)",P24&lt;&gt;"#5 (D16)"),X24,0)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>
        <f>IF(AND(E25&lt;&gt;"",F25&lt;&gt;""),E25*F25/10000,"")</f>
        <v/>
      </c>
      <c r="H25" s="70" t="n"/>
      <c r="I25" s="70" t="n"/>
      <c r="J25" s="74" t="n"/>
      <c r="K25" s="70" t="n"/>
      <c r="L25" s="74" t="n"/>
      <c r="M25" s="75" t="n"/>
      <c r="N25" s="75" t="n"/>
      <c r="O25" s="75" t="n"/>
      <c r="P25" s="75" t="n"/>
      <c r="Q25" s="75" t="n"/>
      <c r="R25" s="75" t="n"/>
      <c r="S25" s="75">
        <f>IF(AND(G25&lt;&gt;"",I25&lt;&gt;"",K25&lt;&gt;""),G25*I25/100*K25,0)</f>
        <v/>
      </c>
      <c r="T25" s="75">
        <f>IF(AND(G25&lt;&gt;"",J25&lt;&gt;"",K25&lt;&gt;""),G25*J25/100*K25,0)</f>
        <v/>
      </c>
      <c r="U25" s="75">
        <f>IF(AND(G25&lt;&gt;"",H25&lt;&gt;"",K25&lt;&gt;""),G25*H25/100*K25,0)</f>
        <v/>
      </c>
      <c r="V25" s="75">
        <f>IF(S25&gt;0,S25-T25-U25,0)</f>
        <v/>
      </c>
      <c r="W25" s="47">
        <f>IF(AND(L25="鋼筋",M25=2,N25&lt;&gt;"",O25&lt;&gt;"",G25&lt;&gt;"",K25&lt;&gt;""),VLOOKUP(N25,'1-專案資訊'!A25:I33,4,0)/(O25/100)*2*1.15*G25*K25,0)</f>
        <v/>
      </c>
      <c r="X25" s="47">
        <f>IF(AND(L25="鋼筋",P25&lt;&gt;"",Q25&lt;&gt;"",G25&lt;&gt;"",K25&lt;&gt;""),VLOOKUP(P25,'1-專案資訊'!A25:I33,4,0)/(Q25/100)*2*1.15*G25*K25,0)</f>
        <v/>
      </c>
      <c r="Y25" s="47">
        <f>IF(AND(L25="鋼絲網",R25&lt;&gt;"",G25&lt;&gt;"",K25&lt;&gt;""),VLOOKUP(R25,'1-專案資訊'!A38:B48,2,0)*G25*K25,0)</f>
        <v/>
      </c>
      <c r="Z25" s="47">
        <f>0</f>
        <v/>
      </c>
      <c r="AA25" s="47">
        <f>IF(AND(G25&lt;&gt;"",K25&lt;&gt;""),G25*K25,0)</f>
        <v/>
      </c>
      <c r="AB25" s="47">
        <f>IF(OR(N25="#3 (D10)",N25="#4 (D13)",N25="#5 (D16)"),W25,0)+IF(OR(P25="#3 (D10)",P25="#4 (D13)",P25="#5 (D16)"),X25,0)</f>
        <v/>
      </c>
      <c r="AC25" s="47">
        <f>IF(AND(N25&lt;&gt;"",N25&lt;&gt;"#3 (D10)",N25&lt;&gt;"#4 (D13)",N25&lt;&gt;"#5 (D16)"),W25,0)+IF(AND(P25&lt;&gt;"",P25&lt;&gt;"#3 (D10)",P25&lt;&gt;"#4 (D13)",P25&lt;&gt;"#5 (D16)"),X25,0)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>
        <f>IF(AND(E26&lt;&gt;"",F26&lt;&gt;""),E26*F26/10000,"")</f>
        <v/>
      </c>
      <c r="H26" s="70" t="n"/>
      <c r="I26" s="70" t="n"/>
      <c r="J26" s="74" t="n"/>
      <c r="K26" s="70" t="n"/>
      <c r="L26" s="74" t="n"/>
      <c r="M26" s="75" t="n"/>
      <c r="N26" s="75" t="n"/>
      <c r="O26" s="75" t="n"/>
      <c r="P26" s="75" t="n"/>
      <c r="Q26" s="75" t="n"/>
      <c r="R26" s="75" t="n"/>
      <c r="S26" s="75">
        <f>IF(AND(G26&lt;&gt;"",I26&lt;&gt;"",K26&lt;&gt;""),G26*I26/100*K26,0)</f>
        <v/>
      </c>
      <c r="T26" s="75">
        <f>IF(AND(G26&lt;&gt;"",J26&lt;&gt;"",K26&lt;&gt;""),G26*J26/100*K26,0)</f>
        <v/>
      </c>
      <c r="U26" s="75">
        <f>IF(AND(G26&lt;&gt;"",H26&lt;&gt;"",K26&lt;&gt;""),G26*H26/100*K26,0)</f>
        <v/>
      </c>
      <c r="V26" s="75">
        <f>IF(S26&gt;0,S26-T26-U26,0)</f>
        <v/>
      </c>
      <c r="W26" s="47">
        <f>IF(AND(L26="鋼筋",M26=2,N26&lt;&gt;"",O26&lt;&gt;"",G26&lt;&gt;"",K26&lt;&gt;""),VLOOKUP(N26,'1-專案資訊'!A25:I33,4,0)/(O26/100)*2*1.15*G26*K26,0)</f>
        <v/>
      </c>
      <c r="X26" s="47">
        <f>IF(AND(L26="鋼筋",P26&lt;&gt;"",Q26&lt;&gt;"",G26&lt;&gt;"",K26&lt;&gt;""),VLOOKUP(P26,'1-專案資訊'!A25:I33,4,0)/(Q26/100)*2*1.15*G26*K26,0)</f>
        <v/>
      </c>
      <c r="Y26" s="47">
        <f>IF(AND(L26="鋼絲網",R26&lt;&gt;"",G26&lt;&gt;"",K26&lt;&gt;""),VLOOKUP(R26,'1-專案資訊'!A38:B48,2,0)*G26*K26,0)</f>
        <v/>
      </c>
      <c r="Z26" s="47">
        <f>0</f>
        <v/>
      </c>
      <c r="AA26" s="47">
        <f>IF(AND(G26&lt;&gt;"",K26&lt;&gt;""),G26*K26,0)</f>
        <v/>
      </c>
      <c r="AB26" s="47">
        <f>IF(OR(N26="#3 (D10)",N26="#4 (D13)",N26="#5 (D16)"),W26,0)+IF(OR(P26="#3 (D10)",P26="#4 (D13)",P26="#5 (D16)"),X26,0)</f>
        <v/>
      </c>
      <c r="AC26" s="47">
        <f>IF(AND(N26&lt;&gt;"",N26&lt;&gt;"#3 (D10)",N26&lt;&gt;"#4 (D13)",N26&lt;&gt;"#5 (D16)"),W26,0)+IF(AND(P26&lt;&gt;"",P26&lt;&gt;"#3 (D10)",P26&lt;&gt;"#4 (D13)",P26&lt;&gt;"#5 (D16)"),X26,0)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>
        <f>IF(AND(E27&lt;&gt;"",F27&lt;&gt;""),E27*F27/10000,"")</f>
        <v/>
      </c>
      <c r="H27" s="70" t="n"/>
      <c r="I27" s="70" t="n"/>
      <c r="J27" s="74" t="n"/>
      <c r="K27" s="70" t="n"/>
      <c r="L27" s="74" t="n"/>
      <c r="M27" s="75" t="n"/>
      <c r="N27" s="75" t="n"/>
      <c r="O27" s="75" t="n"/>
      <c r="P27" s="75" t="n"/>
      <c r="Q27" s="75" t="n"/>
      <c r="R27" s="75" t="n"/>
      <c r="S27" s="75">
        <f>IF(AND(G27&lt;&gt;"",I27&lt;&gt;"",K27&lt;&gt;""),G27*I27/100*K27,0)</f>
        <v/>
      </c>
      <c r="T27" s="75">
        <f>IF(AND(G27&lt;&gt;"",J27&lt;&gt;"",K27&lt;&gt;""),G27*J27/100*K27,0)</f>
        <v/>
      </c>
      <c r="U27" s="75">
        <f>IF(AND(G27&lt;&gt;"",H27&lt;&gt;"",K27&lt;&gt;""),G27*H27/100*K27,0)</f>
        <v/>
      </c>
      <c r="V27" s="75">
        <f>IF(S27&gt;0,S27-T27-U27,0)</f>
        <v/>
      </c>
      <c r="W27" s="47">
        <f>IF(AND(L27="鋼筋",M27=2,N27&lt;&gt;"",O27&lt;&gt;"",G27&lt;&gt;"",K27&lt;&gt;""),VLOOKUP(N27,'1-專案資訊'!A25:I33,4,0)/(O27/100)*2*1.15*G27*K27,0)</f>
        <v/>
      </c>
      <c r="X27" s="47">
        <f>IF(AND(L27="鋼筋",P27&lt;&gt;"",Q27&lt;&gt;"",G27&lt;&gt;"",K27&lt;&gt;""),VLOOKUP(P27,'1-專案資訊'!A25:I33,4,0)/(Q27/100)*2*1.15*G27*K27,0)</f>
        <v/>
      </c>
      <c r="Y27" s="47">
        <f>IF(AND(L27="鋼絲網",R27&lt;&gt;"",G27&lt;&gt;"",K27&lt;&gt;""),VLOOKUP(R27,'1-專案資訊'!A38:B48,2,0)*G27*K27,0)</f>
        <v/>
      </c>
      <c r="Z27" s="47">
        <f>0</f>
        <v/>
      </c>
      <c r="AA27" s="47">
        <f>IF(AND(G27&lt;&gt;"",K27&lt;&gt;""),G27*K27,0)</f>
        <v/>
      </c>
      <c r="AB27" s="47">
        <f>IF(OR(N27="#3 (D10)",N27="#4 (D13)",N27="#5 (D16)"),W27,0)+IF(OR(P27="#3 (D10)",P27="#4 (D13)",P27="#5 (D16)"),X27,0)</f>
        <v/>
      </c>
      <c r="AC27" s="47">
        <f>IF(AND(N27&lt;&gt;"",N27&lt;&gt;"#3 (D10)",N27&lt;&gt;"#4 (D13)",N27&lt;&gt;"#5 (D16)"),W27,0)+IF(AND(P27&lt;&gt;"",P27&lt;&gt;"#3 (D10)",P27&lt;&gt;"#4 (D13)",P27&lt;&gt;"#5 (D16)"),X27,0)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>
        <f>IF(AND(E28&lt;&gt;"",F28&lt;&gt;""),E28*F28/10000,"")</f>
        <v/>
      </c>
      <c r="H28" s="70" t="n"/>
      <c r="I28" s="70" t="n"/>
      <c r="J28" s="74" t="n"/>
      <c r="K28" s="70" t="n"/>
      <c r="L28" s="74" t="n"/>
      <c r="M28" s="75" t="n"/>
      <c r="N28" s="75" t="n"/>
      <c r="O28" s="75" t="n"/>
      <c r="P28" s="75" t="n"/>
      <c r="Q28" s="75" t="n"/>
      <c r="R28" s="75" t="n"/>
      <c r="S28" s="75">
        <f>IF(AND(G28&lt;&gt;"",I28&lt;&gt;"",K28&lt;&gt;""),G28*I28/100*K28,0)</f>
        <v/>
      </c>
      <c r="T28" s="75">
        <f>IF(AND(G28&lt;&gt;"",J28&lt;&gt;"",K28&lt;&gt;""),G28*J28/100*K28,0)</f>
        <v/>
      </c>
      <c r="U28" s="75">
        <f>IF(AND(G28&lt;&gt;"",H28&lt;&gt;"",K28&lt;&gt;""),G28*H28/100*K28,0)</f>
        <v/>
      </c>
      <c r="V28" s="75">
        <f>IF(S28&gt;0,S28-T28-U28,0)</f>
        <v/>
      </c>
      <c r="W28" s="47">
        <f>IF(AND(L28="鋼筋",M28=2,N28&lt;&gt;"",O28&lt;&gt;"",G28&lt;&gt;"",K28&lt;&gt;""),VLOOKUP(N28,'1-專案資訊'!A25:I33,4,0)/(O28/100)*2*1.15*G28*K28,0)</f>
        <v/>
      </c>
      <c r="X28" s="47">
        <f>IF(AND(L28="鋼筋",P28&lt;&gt;"",Q28&lt;&gt;"",G28&lt;&gt;"",K28&lt;&gt;""),VLOOKUP(P28,'1-專案資訊'!A25:I33,4,0)/(Q28/100)*2*1.15*G28*K28,0)</f>
        <v/>
      </c>
      <c r="Y28" s="47">
        <f>IF(AND(L28="鋼絲網",R28&lt;&gt;"",G28&lt;&gt;"",K28&lt;&gt;""),VLOOKUP(R28,'1-專案資訊'!A38:B48,2,0)*G28*K28,0)</f>
        <v/>
      </c>
      <c r="Z28" s="47">
        <f>0</f>
        <v/>
      </c>
      <c r="AA28" s="47">
        <f>IF(AND(G28&lt;&gt;"",K28&lt;&gt;""),G28*K28,0)</f>
        <v/>
      </c>
      <c r="AB28" s="47">
        <f>IF(OR(N28="#3 (D10)",N28="#4 (D13)",N28="#5 (D16)"),W28,0)+IF(OR(P28="#3 (D10)",P28="#4 (D13)",P28="#5 (D16)"),X28,0)</f>
        <v/>
      </c>
      <c r="AC28" s="47">
        <f>IF(AND(N28&lt;&gt;"",N28&lt;&gt;"#3 (D10)",N28&lt;&gt;"#4 (D13)",N28&lt;&gt;"#5 (D16)"),W28,0)+IF(AND(P28&lt;&gt;"",P28&lt;&gt;"#3 (D10)",P28&lt;&gt;"#4 (D13)",P28&lt;&gt;"#5 (D16)"),X28,0)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>
        <f>IF(AND(E29&lt;&gt;"",F29&lt;&gt;""),E29*F29/10000,"")</f>
        <v/>
      </c>
      <c r="H29" s="70" t="n"/>
      <c r="I29" s="70" t="n"/>
      <c r="J29" s="74" t="n"/>
      <c r="K29" s="70" t="n"/>
      <c r="L29" s="74" t="n"/>
      <c r="M29" s="75" t="n"/>
      <c r="N29" s="75" t="n"/>
      <c r="O29" s="75" t="n"/>
      <c r="P29" s="75" t="n"/>
      <c r="Q29" s="75" t="n"/>
      <c r="R29" s="75" t="n"/>
      <c r="S29" s="75">
        <f>IF(AND(G29&lt;&gt;"",I29&lt;&gt;"",K29&lt;&gt;""),G29*I29/100*K29,0)</f>
        <v/>
      </c>
      <c r="T29" s="75">
        <f>IF(AND(G29&lt;&gt;"",J29&lt;&gt;"",K29&lt;&gt;""),G29*J29/100*K29,0)</f>
        <v/>
      </c>
      <c r="U29" s="75">
        <f>IF(AND(G29&lt;&gt;"",H29&lt;&gt;"",K29&lt;&gt;""),G29*H29/100*K29,0)</f>
        <v/>
      </c>
      <c r="V29" s="75">
        <f>IF(S29&gt;0,S29-T29-U29,0)</f>
        <v/>
      </c>
      <c r="W29" s="47">
        <f>IF(AND(L29="鋼筋",M29=2,N29&lt;&gt;"",O29&lt;&gt;"",G29&lt;&gt;"",K29&lt;&gt;""),VLOOKUP(N29,'1-專案資訊'!A25:I33,4,0)/(O29/100)*2*1.15*G29*K29,0)</f>
        <v/>
      </c>
      <c r="X29" s="47">
        <f>IF(AND(L29="鋼筋",P29&lt;&gt;"",Q29&lt;&gt;"",G29&lt;&gt;"",K29&lt;&gt;""),VLOOKUP(P29,'1-專案資訊'!A25:I33,4,0)/(Q29/100)*2*1.15*G29*K29,0)</f>
        <v/>
      </c>
      <c r="Y29" s="47">
        <f>IF(AND(L29="鋼絲網",R29&lt;&gt;"",G29&lt;&gt;"",K29&lt;&gt;""),VLOOKUP(R29,'1-專案資訊'!A38:B48,2,0)*G29*K29,0)</f>
        <v/>
      </c>
      <c r="Z29" s="47">
        <f>0</f>
        <v/>
      </c>
      <c r="AA29" s="47">
        <f>IF(AND(G29&lt;&gt;"",K29&lt;&gt;""),G29*K29,0)</f>
        <v/>
      </c>
      <c r="AB29" s="47">
        <f>IF(OR(N29="#3 (D10)",N29="#4 (D13)",N29="#5 (D16)"),W29,0)+IF(OR(P29="#3 (D10)",P29="#4 (D13)",P29="#5 (D16)"),X29,0)</f>
        <v/>
      </c>
      <c r="AC29" s="47">
        <f>IF(AND(N29&lt;&gt;"",N29&lt;&gt;"#3 (D10)",N29&lt;&gt;"#4 (D13)",N29&lt;&gt;"#5 (D16)"),W29,0)+IF(AND(P29&lt;&gt;"",P29&lt;&gt;"#3 (D10)",P29&lt;&gt;"#4 (D13)",P29&lt;&gt;"#5 (D16)"),X29,0)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>
        <f>IF(AND(E30&lt;&gt;"",F30&lt;&gt;""),E30*F30/10000,"")</f>
        <v/>
      </c>
      <c r="H30" s="70" t="n"/>
      <c r="I30" s="70" t="n"/>
      <c r="J30" s="74" t="n"/>
      <c r="K30" s="70" t="n"/>
      <c r="L30" s="74" t="n"/>
      <c r="M30" s="75" t="n"/>
      <c r="N30" s="75" t="n"/>
      <c r="O30" s="75" t="n"/>
      <c r="P30" s="75" t="n"/>
      <c r="Q30" s="75" t="n"/>
      <c r="R30" s="75" t="n"/>
      <c r="S30" s="75">
        <f>IF(AND(G30&lt;&gt;"",I30&lt;&gt;"",K30&lt;&gt;""),G30*I30/100*K30,0)</f>
        <v/>
      </c>
      <c r="T30" s="75">
        <f>IF(AND(G30&lt;&gt;"",J30&lt;&gt;"",K30&lt;&gt;""),G30*J30/100*K30,0)</f>
        <v/>
      </c>
      <c r="U30" s="75">
        <f>IF(AND(G30&lt;&gt;"",H30&lt;&gt;"",K30&lt;&gt;""),G30*H30/100*K30,0)</f>
        <v/>
      </c>
      <c r="V30" s="75">
        <f>IF(S30&gt;0,S30-T30-U30,0)</f>
        <v/>
      </c>
      <c r="W30" s="47">
        <f>IF(AND(L30="鋼筋",M30=2,N30&lt;&gt;"",O30&lt;&gt;"",G30&lt;&gt;"",K30&lt;&gt;""),VLOOKUP(N30,'1-專案資訊'!A25:I33,4,0)/(O30/100)*2*1.15*G30*K30,0)</f>
        <v/>
      </c>
      <c r="X30" s="47">
        <f>IF(AND(L30="鋼筋",P30&lt;&gt;"",Q30&lt;&gt;"",G30&lt;&gt;"",K30&lt;&gt;""),VLOOKUP(P30,'1-專案資訊'!A25:I33,4,0)/(Q30/100)*2*1.15*G30*K30,0)</f>
        <v/>
      </c>
      <c r="Y30" s="47">
        <f>IF(AND(L30="鋼絲網",R30&lt;&gt;"",G30&lt;&gt;"",K30&lt;&gt;""),VLOOKUP(R30,'1-專案資訊'!A38:B48,2,0)*G30*K30,0)</f>
        <v/>
      </c>
      <c r="Z30" s="47">
        <f>0</f>
        <v/>
      </c>
      <c r="AA30" s="47">
        <f>IF(AND(G30&lt;&gt;"",K30&lt;&gt;""),G30*K30,0)</f>
        <v/>
      </c>
      <c r="AB30" s="47">
        <f>IF(OR(N30="#3 (D10)",N30="#4 (D13)",N30="#5 (D16)"),W30,0)+IF(OR(P30="#3 (D10)",P30="#4 (D13)",P30="#5 (D16)"),X30,0)</f>
        <v/>
      </c>
      <c r="AC30" s="47">
        <f>IF(AND(N30&lt;&gt;"",N30&lt;&gt;"#3 (D10)",N30&lt;&gt;"#4 (D13)",N30&lt;&gt;"#5 (D16)"),W30,0)+IF(AND(P30&lt;&gt;"",P30&lt;&gt;"#3 (D10)",P30&lt;&gt;"#4 (D13)",P30&lt;&gt;"#5 (D16)"),X30,0)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>
        <f>IF(AND(E31&lt;&gt;"",F31&lt;&gt;""),E31*F31/10000,"")</f>
        <v/>
      </c>
      <c r="H31" s="70" t="n"/>
      <c r="I31" s="70" t="n"/>
      <c r="J31" s="74" t="n"/>
      <c r="K31" s="70" t="n"/>
      <c r="L31" s="74" t="n"/>
      <c r="M31" s="75" t="n"/>
      <c r="N31" s="75" t="n"/>
      <c r="O31" s="75" t="n"/>
      <c r="P31" s="75" t="n"/>
      <c r="Q31" s="75" t="n"/>
      <c r="R31" s="75" t="n"/>
      <c r="S31" s="75">
        <f>IF(AND(G31&lt;&gt;"",I31&lt;&gt;"",K31&lt;&gt;""),G31*I31/100*K31,0)</f>
        <v/>
      </c>
      <c r="T31" s="75">
        <f>IF(AND(G31&lt;&gt;"",J31&lt;&gt;"",K31&lt;&gt;""),G31*J31/100*K31,0)</f>
        <v/>
      </c>
      <c r="U31" s="75">
        <f>IF(AND(G31&lt;&gt;"",H31&lt;&gt;"",K31&lt;&gt;""),G31*H31/100*K31,0)</f>
        <v/>
      </c>
      <c r="V31" s="75">
        <f>IF(S31&gt;0,S31-T31-U31,0)</f>
        <v/>
      </c>
      <c r="W31" s="47">
        <f>IF(AND(L31="鋼筋",M31=2,N31&lt;&gt;"",O31&lt;&gt;"",G31&lt;&gt;"",K31&lt;&gt;""),VLOOKUP(N31,'1-專案資訊'!A25:I33,4,0)/(O31/100)*2*1.15*G31*K31,0)</f>
        <v/>
      </c>
      <c r="X31" s="47">
        <f>IF(AND(L31="鋼筋",P31&lt;&gt;"",Q31&lt;&gt;"",G31&lt;&gt;"",K31&lt;&gt;""),VLOOKUP(P31,'1-專案資訊'!A25:I33,4,0)/(Q31/100)*2*1.15*G31*K31,0)</f>
        <v/>
      </c>
      <c r="Y31" s="47">
        <f>IF(AND(L31="鋼絲網",R31&lt;&gt;"",G31&lt;&gt;"",K31&lt;&gt;""),VLOOKUP(R31,'1-專案資訊'!A38:B48,2,0)*G31*K31,0)</f>
        <v/>
      </c>
      <c r="Z31" s="47">
        <f>0</f>
        <v/>
      </c>
      <c r="AA31" s="47">
        <f>IF(AND(G31&lt;&gt;"",K31&lt;&gt;""),G31*K31,0)</f>
        <v/>
      </c>
      <c r="AB31" s="47">
        <f>IF(OR(N31="#3 (D10)",N31="#4 (D13)",N31="#5 (D16)"),W31,0)+IF(OR(P31="#3 (D10)",P31="#4 (D13)",P31="#5 (D16)"),X31,0)</f>
        <v/>
      </c>
      <c r="AC31" s="47">
        <f>IF(AND(N31&lt;&gt;"",N31&lt;&gt;"#3 (D10)",N31&lt;&gt;"#4 (D13)",N31&lt;&gt;"#5 (D16)"),W31,0)+IF(AND(P31&lt;&gt;"",P31&lt;&gt;"#3 (D10)",P31&lt;&gt;"#4 (D13)",P31&lt;&gt;"#5 (D16)"),X31,0)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>
        <f>IF(AND(E32&lt;&gt;"",F32&lt;&gt;""),E32*F32/10000,"")</f>
        <v/>
      </c>
      <c r="H32" s="70" t="n"/>
      <c r="I32" s="70" t="n"/>
      <c r="J32" s="74" t="n"/>
      <c r="K32" s="70" t="n"/>
      <c r="L32" s="74" t="n"/>
      <c r="M32" s="75" t="n"/>
      <c r="N32" s="75" t="n"/>
      <c r="O32" s="75" t="n"/>
      <c r="P32" s="75" t="n"/>
      <c r="Q32" s="75" t="n"/>
      <c r="R32" s="75" t="n"/>
      <c r="S32" s="75">
        <f>IF(AND(G32&lt;&gt;"",I32&lt;&gt;"",K32&lt;&gt;""),G32*I32/100*K32,0)</f>
        <v/>
      </c>
      <c r="T32" s="75">
        <f>IF(AND(G32&lt;&gt;"",J32&lt;&gt;"",K32&lt;&gt;""),G32*J32/100*K32,0)</f>
        <v/>
      </c>
      <c r="U32" s="75">
        <f>IF(AND(G32&lt;&gt;"",H32&lt;&gt;"",K32&lt;&gt;""),G32*H32/100*K32,0)</f>
        <v/>
      </c>
      <c r="V32" s="75">
        <f>IF(S32&gt;0,S32-T32-U32,0)</f>
        <v/>
      </c>
      <c r="W32" s="47">
        <f>IF(AND(L32="鋼筋",M32=2,N32&lt;&gt;"",O32&lt;&gt;"",G32&lt;&gt;"",K32&lt;&gt;""),VLOOKUP(N32,'1-專案資訊'!A25:I33,4,0)/(O32/100)*2*1.15*G32*K32,0)</f>
        <v/>
      </c>
      <c r="X32" s="47">
        <f>IF(AND(L32="鋼筋",P32&lt;&gt;"",Q32&lt;&gt;"",G32&lt;&gt;"",K32&lt;&gt;""),VLOOKUP(P32,'1-專案資訊'!A25:I33,4,0)/(Q32/100)*2*1.15*G32*K32,0)</f>
        <v/>
      </c>
      <c r="Y32" s="47">
        <f>IF(AND(L32="鋼絲網",R32&lt;&gt;"",G32&lt;&gt;"",K32&lt;&gt;""),VLOOKUP(R32,'1-專案資訊'!A38:B48,2,0)*G32*K32,0)</f>
        <v/>
      </c>
      <c r="Z32" s="47">
        <f>0</f>
        <v/>
      </c>
      <c r="AA32" s="47">
        <f>IF(AND(G32&lt;&gt;"",K32&lt;&gt;""),G32*K32,0)</f>
        <v/>
      </c>
      <c r="AB32" s="47">
        <f>IF(OR(N32="#3 (D10)",N32="#4 (D13)",N32="#5 (D16)"),W32,0)+IF(OR(P32="#3 (D10)",P32="#4 (D13)",P32="#5 (D16)"),X32,0)</f>
        <v/>
      </c>
      <c r="AC32" s="47">
        <f>IF(AND(N32&lt;&gt;"",N32&lt;&gt;"#3 (D10)",N32&lt;&gt;"#4 (D13)",N32&lt;&gt;"#5 (D16)"),W32,0)+IF(AND(P32&lt;&gt;"",P32&lt;&gt;"#3 (D10)",P32&lt;&gt;"#4 (D13)",P32&lt;&gt;"#5 (D16)"),X32,0)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>
        <f>IF(AND(E33&lt;&gt;"",F33&lt;&gt;""),E33*F33/10000,"")</f>
        <v/>
      </c>
      <c r="H33" s="70" t="n"/>
      <c r="I33" s="70" t="n"/>
      <c r="J33" s="74" t="n"/>
      <c r="K33" s="70" t="n"/>
      <c r="L33" s="74" t="n"/>
      <c r="M33" s="75" t="n"/>
      <c r="N33" s="75" t="n"/>
      <c r="O33" s="75" t="n"/>
      <c r="P33" s="75" t="n"/>
      <c r="Q33" s="75" t="n"/>
      <c r="R33" s="75" t="n"/>
      <c r="S33" s="75">
        <f>IF(AND(G33&lt;&gt;"",I33&lt;&gt;"",K33&lt;&gt;""),G33*I33/100*K33,0)</f>
        <v/>
      </c>
      <c r="T33" s="75">
        <f>IF(AND(G33&lt;&gt;"",J33&lt;&gt;"",K33&lt;&gt;""),G33*J33/100*K33,0)</f>
        <v/>
      </c>
      <c r="U33" s="75">
        <f>IF(AND(G33&lt;&gt;"",H33&lt;&gt;"",K33&lt;&gt;""),G33*H33/100*K33,0)</f>
        <v/>
      </c>
      <c r="V33" s="75">
        <f>IF(S33&gt;0,S33-T33-U33,0)</f>
        <v/>
      </c>
      <c r="W33" s="47">
        <f>IF(AND(L33="鋼筋",M33=2,N33&lt;&gt;"",O33&lt;&gt;"",G33&lt;&gt;"",K33&lt;&gt;""),VLOOKUP(N33,'1-專案資訊'!A25:I33,4,0)/(O33/100)*2*1.15*G33*K33,0)</f>
        <v/>
      </c>
      <c r="X33" s="47">
        <f>IF(AND(L33="鋼筋",P33&lt;&gt;"",Q33&lt;&gt;"",G33&lt;&gt;"",K33&lt;&gt;""),VLOOKUP(P33,'1-專案資訊'!A25:I33,4,0)/(Q33/100)*2*1.15*G33*K33,0)</f>
        <v/>
      </c>
      <c r="Y33" s="47">
        <f>IF(AND(L33="鋼絲網",R33&lt;&gt;"",G33&lt;&gt;"",K33&lt;&gt;""),VLOOKUP(R33,'1-專案資訊'!A38:B48,2,0)*G33*K33,0)</f>
        <v/>
      </c>
      <c r="Z33" s="47">
        <f>0</f>
        <v/>
      </c>
      <c r="AA33" s="47">
        <f>IF(AND(G33&lt;&gt;"",K33&lt;&gt;""),G33*K33,0)</f>
        <v/>
      </c>
      <c r="AB33" s="47">
        <f>IF(OR(N33="#3 (D10)",N33="#4 (D13)",N33="#5 (D16)"),W33,0)+IF(OR(P33="#3 (D10)",P33="#4 (D13)",P33="#5 (D16)"),X33,0)</f>
        <v/>
      </c>
      <c r="AC33" s="47">
        <f>IF(AND(N33&lt;&gt;"",N33&lt;&gt;"#3 (D10)",N33&lt;&gt;"#4 (D13)",N33&lt;&gt;"#5 (D16)"),W33,0)+IF(AND(P33&lt;&gt;"",P33&lt;&gt;"#3 (D10)",P33&lt;&gt;"#4 (D13)",P33&lt;&gt;"#5 (D16)"),X33,0)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>
        <f>IF(AND(E34&lt;&gt;"",F34&lt;&gt;""),E34*F34/10000,"")</f>
        <v/>
      </c>
      <c r="H34" s="70" t="n"/>
      <c r="I34" s="70" t="n"/>
      <c r="J34" s="74" t="n"/>
      <c r="K34" s="70" t="n"/>
      <c r="L34" s="74" t="n"/>
      <c r="M34" s="75" t="n"/>
      <c r="N34" s="75" t="n"/>
      <c r="O34" s="75" t="n"/>
      <c r="P34" s="75" t="n"/>
      <c r="Q34" s="75" t="n"/>
      <c r="R34" s="75" t="n"/>
      <c r="S34" s="75">
        <f>IF(AND(G34&lt;&gt;"",I34&lt;&gt;"",K34&lt;&gt;""),G34*I34/100*K34,0)</f>
        <v/>
      </c>
      <c r="T34" s="75">
        <f>IF(AND(G34&lt;&gt;"",J34&lt;&gt;"",K34&lt;&gt;""),G34*J34/100*K34,0)</f>
        <v/>
      </c>
      <c r="U34" s="75">
        <f>IF(AND(G34&lt;&gt;"",H34&lt;&gt;"",K34&lt;&gt;""),G34*H34/100*K34,0)</f>
        <v/>
      </c>
      <c r="V34" s="75">
        <f>IF(S34&gt;0,S34-T34-U34,0)</f>
        <v/>
      </c>
      <c r="W34" s="47">
        <f>IF(AND(L34="鋼筋",M34=2,N34&lt;&gt;"",O34&lt;&gt;"",G34&lt;&gt;"",K34&lt;&gt;""),VLOOKUP(N34,'1-專案資訊'!A25:I33,4,0)/(O34/100)*2*1.15*G34*K34,0)</f>
        <v/>
      </c>
      <c r="X34" s="47">
        <f>IF(AND(L34="鋼筋",P34&lt;&gt;"",Q34&lt;&gt;"",G34&lt;&gt;"",K34&lt;&gt;""),VLOOKUP(P34,'1-專案資訊'!A25:I33,4,0)/(Q34/100)*2*1.15*G34*K34,0)</f>
        <v/>
      </c>
      <c r="Y34" s="47">
        <f>IF(AND(L34="鋼絲網",R34&lt;&gt;"",G34&lt;&gt;"",K34&lt;&gt;""),VLOOKUP(R34,'1-專案資訊'!A38:B48,2,0)*G34*K34,0)</f>
        <v/>
      </c>
      <c r="Z34" s="47">
        <f>0</f>
        <v/>
      </c>
      <c r="AA34" s="47">
        <f>IF(AND(G34&lt;&gt;"",K34&lt;&gt;""),G34*K34,0)</f>
        <v/>
      </c>
      <c r="AB34" s="47">
        <f>IF(OR(N34="#3 (D10)",N34="#4 (D13)",N34="#5 (D16)"),W34,0)+IF(OR(P34="#3 (D10)",P34="#4 (D13)",P34="#5 (D16)"),X34,0)</f>
        <v/>
      </c>
      <c r="AC34" s="47">
        <f>IF(AND(N34&lt;&gt;"",N34&lt;&gt;"#3 (D10)",N34&lt;&gt;"#4 (D13)",N34&lt;&gt;"#5 (D16)"),W34,0)+IF(AND(P34&lt;&gt;"",P34&lt;&gt;"#3 (D10)",P34&lt;&gt;"#4 (D13)",P34&lt;&gt;"#5 (D16)"),X34,0)</f>
        <v/>
      </c>
    </row>
    <row r="35" ht="16.5" customHeight="1" s="48">
      <c r="B35" s="76" t="n"/>
      <c r="M35" s="77" t="n"/>
      <c r="N35" s="77" t="n"/>
      <c r="O35" s="77" t="n"/>
      <c r="P35" s="77" t="n"/>
      <c r="Q35" s="77" t="n"/>
      <c r="R35" s="77" t="n"/>
      <c r="S35" s="77">
        <f>SUM(S5:S34)</f>
        <v/>
      </c>
      <c r="T35" s="77">
        <f>SUM(T5:T34)</f>
        <v/>
      </c>
      <c r="U35" s="77">
        <f>SUM(U5:U34)</f>
        <v/>
      </c>
      <c r="V35" s="77">
        <f>SUM(V5:V34)</f>
        <v/>
      </c>
      <c r="W35" s="47">
        <f>SUM(W5:W34)</f>
        <v/>
      </c>
      <c r="X35" s="47">
        <f>SUM(X5:X34)</f>
        <v/>
      </c>
      <c r="Y35" s="47">
        <f>SUM(Y5:Y34)</f>
        <v/>
      </c>
      <c r="Z35" s="47">
        <f>SUM(Z5:Z34)</f>
        <v/>
      </c>
      <c r="AA35" s="47">
        <f>SUM(AA5:AA34)</f>
        <v/>
      </c>
      <c r="AB35" s="47">
        <f>SUM(AB5:AB34)</f>
        <v/>
      </c>
      <c r="AC35" s="47">
        <f>SUM(AC5:AC34)</f>
        <v/>
      </c>
    </row>
  </sheetData>
  <mergeCells count="2">
    <mergeCell ref="A2:X2"/>
    <mergeCell ref="A1:X1"/>
  </mergeCells>
  <dataValidations count="6">
    <dataValidation sqref="D5:D34" showDropDown="0" showInputMessage="0" showErrorMessage="0" allowBlank="1" type="list">
      <formula1>"F-01"</formula1>
    </dataValidation>
    <dataValidation sqref="L5:L34" showDropDown="0" showInputMessage="0" showErrorMessage="0" allowBlank="1" type="list">
      <formula1>"鋼筋,鋼絲網"</formula1>
    </dataValidation>
    <dataValidation sqref="M5:M34" showDropDown="0" showInputMessage="0" showErrorMessage="0" allowBlank="1" type="list">
      <formula1>"1,2"</formula1>
    </dataValidation>
    <dataValidation sqref="N5:N34" showDropDown="0" showInputMessage="0" showErrorMessage="0" allowBlank="1" type="list">
      <formula1>"#3 (D10),#4 (D13),#5 (D16)"</formula1>
    </dataValidation>
    <dataValidation sqref="P5:P34" showDropDown="0" showInputMessage="0" showErrorMessage="0" allowBlank="1" type="list">
      <formula1>"#3 (D10),#4 (D13),#5 (D16)"</formula1>
    </dataValidation>
    <dataValidation sqref="R5:R34" showDropDown="0" showInputMessage="0" showErrorMessage="0" allowBlank="1" type="list">
      <formula1>"φ6@150x150"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V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2"/>
    <col width="10" customWidth="1" style="47" min="3" max="6"/>
    <col width="9" customWidth="1" style="47" min="7" max="9"/>
    <col width="7" customWidth="1" style="47" min="10" max="10"/>
    <col width="12" customWidth="1" style="47" min="11" max="11"/>
    <col width="9" customWidth="1" style="47" min="12" max="12"/>
    <col width="11" customWidth="1" style="47" min="13" max="18"/>
    <col width="12" customWidth="1" style="47" min="19" max="20"/>
  </cols>
  <sheetData>
    <row r="1" ht="17.25" customHeight="1" s="48">
      <c r="A1" s="68" t="inlineStr">
        <is>
          <t>基礎 數量計算表</t>
        </is>
      </c>
    </row>
    <row r="2" ht="13.5" customHeight="1" s="48">
      <c r="A2" s="50" t="inlineStr">
        <is>
          <t>含開挖(+工作寬)/PC/回填。fc'=280。</t>
        </is>
      </c>
    </row>
    <row r="3" ht="15" customHeight="1" s="48">
      <c r="A3" s="51" t="inlineStr">
        <is>
          <t>預設鋼筋長度 (m):</t>
        </is>
      </c>
      <c r="B3" s="71" t="n">
        <v>6</v>
      </c>
      <c r="C3" s="50" t="inlineStr">
        <is>
          <t>← 可調整</t>
        </is>
      </c>
    </row>
    <row r="4" ht="26.2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基礎編號</t>
        </is>
      </c>
      <c r="D4" s="59" t="inlineStr">
        <is>
          <t>▼型式</t>
        </is>
      </c>
      <c r="E4" s="60" t="inlineStr">
        <is>
          <t>L (mm)</t>
        </is>
      </c>
      <c r="F4" s="60" t="inlineStr">
        <is>
          <t>B (mm)</t>
        </is>
      </c>
      <c r="G4" s="60" t="inlineStr">
        <is>
          <t>D (mm)</t>
        </is>
      </c>
      <c r="H4" s="60" t="inlineStr">
        <is>
          <t>PC厚 (mm)</t>
        </is>
      </c>
      <c r="I4" s="59" t="inlineStr">
        <is>
          <t>工作寬 (mm)</t>
        </is>
      </c>
      <c r="J4" s="59" t="inlineStr">
        <is>
          <t>數量</t>
        </is>
      </c>
      <c r="K4" s="59" t="inlineStr">
        <is>
          <t>▼底筋</t>
        </is>
      </c>
      <c r="L4" s="59" t="inlineStr">
        <is>
          <t>間距 (mm)</t>
        </is>
      </c>
      <c r="M4" s="59" t="inlineStr">
        <is>
          <t>開挖 (m3)</t>
        </is>
      </c>
      <c r="N4" s="60" t="inlineStr">
        <is>
          <t>PC (m3)</t>
        </is>
      </c>
      <c r="O4" s="59" t="inlineStr">
        <is>
          <t>混凝土 (m3)</t>
        </is>
      </c>
      <c r="P4" s="59" t="inlineStr">
        <is>
          <t>回填 (m3)</t>
        </is>
      </c>
      <c r="Q4" s="59" t="inlineStr">
        <is>
          <t>鋼筋 (kg)</t>
        </is>
      </c>
      <c r="R4" s="59" t="inlineStr">
        <is>
          <t>模板 (m2)</t>
        </is>
      </c>
      <c r="S4" s="72" t="inlineStr">
        <is>
          <t>SD280 (kg)</t>
        </is>
      </c>
      <c r="T4" s="73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 t="n"/>
      <c r="H5" s="70" t="n"/>
      <c r="I5" s="70" t="n"/>
      <c r="J5" s="70" t="n"/>
      <c r="K5" s="74" t="n"/>
      <c r="L5" s="70" t="n"/>
      <c r="M5" s="75">
        <f>IF(AND(E5&lt;&gt;"",F5&lt;&gt;"",G5&lt;&gt;"",H5&lt;&gt;"",I5&lt;&gt;"",J5&lt;&gt;""),(E5+2*I5)*(F5+2*I5)*(G5+H5)/1000000000*J5,0)</f>
        <v/>
      </c>
      <c r="N5" s="75">
        <f>IF(AND(E5&lt;&gt;"",F5&lt;&gt;"",H5&lt;&gt;"",I5&lt;&gt;"",J5&lt;&gt;""),(E5+2*I5)*(F5+2*I5)*H5/1000000000*J5,0)</f>
        <v/>
      </c>
      <c r="O5" s="75">
        <f>IF(AND(E5&lt;&gt;"",F5&lt;&gt;"",G5&lt;&gt;"",J5&lt;&gt;""),E5*F5*G5/1000000000*J5,0)</f>
        <v/>
      </c>
      <c r="P5" s="75">
        <f>IF(M5&gt;0,M5-N5-O5,0)</f>
        <v/>
      </c>
      <c r="Q5" s="75">
        <f>IF(AND(K5&lt;&gt;"",L5&lt;&gt;"",E5&lt;&gt;"",F5&lt;&gt;"",J5&lt;&gt;""),VLOOKUP(K5,'1-專案資訊'!A25:I33,4,0)*((E5/1000/L5*1000*F5/1000)+(F5/1000/L5*1000*E5/1000))*1.2*J5,0)</f>
        <v/>
      </c>
      <c r="R5" s="75">
        <f>IF(AND(E5&lt;&gt;"",F5&lt;&gt;"",G5&lt;&gt;"",J5&lt;&gt;""),2*(E5+F5)*G5/1000000*J5,0)</f>
        <v/>
      </c>
      <c r="S5" s="75">
        <f>IF(OR(K5="#3 (D10)",K5="#4 (D13)",K5="#5 (D16)"),Q5,0)</f>
        <v/>
      </c>
      <c r="T5" s="75">
        <f>IF(AND(K5&lt;&gt;"",K5&lt;&gt;"#3 (D10)",K5&lt;&gt;"#4 (D13)",K5&lt;&gt;"#5 (D16)"),Q5,0)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 t="n"/>
      <c r="H6" s="70" t="n"/>
      <c r="I6" s="70" t="n"/>
      <c r="J6" s="70" t="n"/>
      <c r="K6" s="74" t="n"/>
      <c r="L6" s="70" t="n"/>
      <c r="M6" s="75">
        <f>IF(AND(E6&lt;&gt;"",F6&lt;&gt;"",G6&lt;&gt;"",H6&lt;&gt;"",I6&lt;&gt;"",J6&lt;&gt;""),(E6+2*I6)*(F6+2*I6)*(G6+H6)/1000000000*J6,0)</f>
        <v/>
      </c>
      <c r="N6" s="75">
        <f>IF(AND(E6&lt;&gt;"",F6&lt;&gt;"",H6&lt;&gt;"",I6&lt;&gt;"",J6&lt;&gt;""),(E6+2*I6)*(F6+2*I6)*H6/1000000000*J6,0)</f>
        <v/>
      </c>
      <c r="O6" s="75">
        <f>IF(AND(E6&lt;&gt;"",F6&lt;&gt;"",G6&lt;&gt;"",J6&lt;&gt;""),E6*F6*G6/1000000000*J6,0)</f>
        <v/>
      </c>
      <c r="P6" s="75">
        <f>IF(M6&gt;0,M6-N6-O6,0)</f>
        <v/>
      </c>
      <c r="Q6" s="75">
        <f>IF(AND(K6&lt;&gt;"",L6&lt;&gt;"",E6&lt;&gt;"",F6&lt;&gt;"",J6&lt;&gt;""),VLOOKUP(K6,'1-專案資訊'!A25:I33,4,0)*((E6/1000/L6*1000*F6/1000)+(F6/1000/L6*1000*E6/1000))*1.2*J6,0)</f>
        <v/>
      </c>
      <c r="R6" s="75">
        <f>IF(AND(E6&lt;&gt;"",F6&lt;&gt;"",G6&lt;&gt;"",J6&lt;&gt;""),2*(E6+F6)*G6/1000000*J6,0)</f>
        <v/>
      </c>
      <c r="S6" s="75">
        <f>IF(OR(K6="#3 (D10)",K6="#4 (D13)",K6="#5 (D16)"),Q6,0)</f>
        <v/>
      </c>
      <c r="T6" s="75">
        <f>IF(AND(K6&lt;&gt;"",K6&lt;&gt;"#3 (D10)",K6&lt;&gt;"#4 (D13)",K6&lt;&gt;"#5 (D16)"),Q6,0)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 t="n"/>
      <c r="H7" s="70" t="n"/>
      <c r="I7" s="70" t="n"/>
      <c r="J7" s="70" t="n"/>
      <c r="K7" s="74" t="n"/>
      <c r="L7" s="70" t="n"/>
      <c r="M7" s="75">
        <f>IF(AND(E7&lt;&gt;"",F7&lt;&gt;"",G7&lt;&gt;"",H7&lt;&gt;"",I7&lt;&gt;"",J7&lt;&gt;""),(E7+2*I7)*(F7+2*I7)*(G7+H7)/1000000000*J7,0)</f>
        <v/>
      </c>
      <c r="N7" s="75">
        <f>IF(AND(E7&lt;&gt;"",F7&lt;&gt;"",H7&lt;&gt;"",I7&lt;&gt;"",J7&lt;&gt;""),(E7+2*I7)*(F7+2*I7)*H7/1000000000*J7,0)</f>
        <v/>
      </c>
      <c r="O7" s="75">
        <f>IF(AND(E7&lt;&gt;"",F7&lt;&gt;"",G7&lt;&gt;"",J7&lt;&gt;""),E7*F7*G7/1000000000*J7,0)</f>
        <v/>
      </c>
      <c r="P7" s="75">
        <f>IF(M7&gt;0,M7-N7-O7,0)</f>
        <v/>
      </c>
      <c r="Q7" s="75">
        <f>IF(AND(K7&lt;&gt;"",L7&lt;&gt;"",E7&lt;&gt;"",F7&lt;&gt;"",J7&lt;&gt;""),VLOOKUP(K7,'1-專案資訊'!A25:I33,4,0)*((E7/1000/L7*1000*F7/1000)+(F7/1000/L7*1000*E7/1000))*1.2*J7,0)</f>
        <v/>
      </c>
      <c r="R7" s="75">
        <f>IF(AND(E7&lt;&gt;"",F7&lt;&gt;"",G7&lt;&gt;"",J7&lt;&gt;""),2*(E7+F7)*G7/1000000*J7,0)</f>
        <v/>
      </c>
      <c r="S7" s="75">
        <f>IF(OR(K7="#3 (D10)",K7="#4 (D13)",K7="#5 (D16)"),Q7,0)</f>
        <v/>
      </c>
      <c r="T7" s="75">
        <f>IF(AND(K7&lt;&gt;"",K7&lt;&gt;"#3 (D10)",K7&lt;&gt;"#4 (D13)",K7&lt;&gt;"#5 (D16)"),Q7,0)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 t="n"/>
      <c r="H8" s="70" t="n"/>
      <c r="I8" s="70" t="n"/>
      <c r="J8" s="70" t="n"/>
      <c r="K8" s="74" t="n"/>
      <c r="L8" s="70" t="n"/>
      <c r="M8" s="75">
        <f>IF(AND(E8&lt;&gt;"",F8&lt;&gt;"",G8&lt;&gt;"",H8&lt;&gt;"",I8&lt;&gt;"",J8&lt;&gt;""),(E8+2*I8)*(F8+2*I8)*(G8+H8)/1000000000*J8,0)</f>
        <v/>
      </c>
      <c r="N8" s="75">
        <f>IF(AND(E8&lt;&gt;"",F8&lt;&gt;"",H8&lt;&gt;"",I8&lt;&gt;"",J8&lt;&gt;""),(E8+2*I8)*(F8+2*I8)*H8/1000000000*J8,0)</f>
        <v/>
      </c>
      <c r="O8" s="75">
        <f>IF(AND(E8&lt;&gt;"",F8&lt;&gt;"",G8&lt;&gt;"",J8&lt;&gt;""),E8*F8*G8/1000000000*J8,0)</f>
        <v/>
      </c>
      <c r="P8" s="75">
        <f>IF(M8&gt;0,M8-N8-O8,0)</f>
        <v/>
      </c>
      <c r="Q8" s="75">
        <f>IF(AND(K8&lt;&gt;"",L8&lt;&gt;"",E8&lt;&gt;"",F8&lt;&gt;"",J8&lt;&gt;""),VLOOKUP(K8,'1-專案資訊'!A25:I33,4,0)*((E8/1000/L8*1000*F8/1000)+(F8/1000/L8*1000*E8/1000))*1.2*J8,0)</f>
        <v/>
      </c>
      <c r="R8" s="75">
        <f>IF(AND(E8&lt;&gt;"",F8&lt;&gt;"",G8&lt;&gt;"",J8&lt;&gt;""),2*(E8+F8)*G8/1000000*J8,0)</f>
        <v/>
      </c>
      <c r="S8" s="75">
        <f>IF(OR(K8="#3 (D10)",K8="#4 (D13)",K8="#5 (D16)"),Q8,0)</f>
        <v/>
      </c>
      <c r="T8" s="75">
        <f>IF(AND(K8&lt;&gt;"",K8&lt;&gt;"#3 (D10)",K8&lt;&gt;"#4 (D13)",K8&lt;&gt;"#5 (D16)"),Q8,0)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 t="n"/>
      <c r="H9" s="70" t="n"/>
      <c r="I9" s="70" t="n"/>
      <c r="J9" s="70" t="n"/>
      <c r="K9" s="74" t="n"/>
      <c r="L9" s="70" t="n"/>
      <c r="M9" s="75">
        <f>IF(AND(E9&lt;&gt;"",F9&lt;&gt;"",G9&lt;&gt;"",H9&lt;&gt;"",I9&lt;&gt;"",J9&lt;&gt;""),(E9+2*I9)*(F9+2*I9)*(G9+H9)/1000000000*J9,0)</f>
        <v/>
      </c>
      <c r="N9" s="75">
        <f>IF(AND(E9&lt;&gt;"",F9&lt;&gt;"",H9&lt;&gt;"",I9&lt;&gt;"",J9&lt;&gt;""),(E9+2*I9)*(F9+2*I9)*H9/1000000000*J9,0)</f>
        <v/>
      </c>
      <c r="O9" s="75">
        <f>IF(AND(E9&lt;&gt;"",F9&lt;&gt;"",G9&lt;&gt;"",J9&lt;&gt;""),E9*F9*G9/1000000000*J9,0)</f>
        <v/>
      </c>
      <c r="P9" s="75">
        <f>IF(M9&gt;0,M9-N9-O9,0)</f>
        <v/>
      </c>
      <c r="Q9" s="75">
        <f>IF(AND(K9&lt;&gt;"",L9&lt;&gt;"",E9&lt;&gt;"",F9&lt;&gt;"",J9&lt;&gt;""),VLOOKUP(K9,'1-專案資訊'!A25:I33,4,0)*((E9/1000/L9*1000*F9/1000)+(F9/1000/L9*1000*E9/1000))*1.2*J9,0)</f>
        <v/>
      </c>
      <c r="R9" s="75">
        <f>IF(AND(E9&lt;&gt;"",F9&lt;&gt;"",G9&lt;&gt;"",J9&lt;&gt;""),2*(E9+F9)*G9/1000000*J9,0)</f>
        <v/>
      </c>
      <c r="S9" s="75">
        <f>IF(OR(K9="#3 (D10)",K9="#4 (D13)",K9="#5 (D16)"),Q9,0)</f>
        <v/>
      </c>
      <c r="T9" s="75">
        <f>IF(AND(K9&lt;&gt;"",K9&lt;&gt;"#3 (D10)",K9&lt;&gt;"#4 (D13)",K9&lt;&gt;"#5 (D16)"),Q9,0)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 t="n"/>
      <c r="H10" s="70" t="n"/>
      <c r="I10" s="70" t="n"/>
      <c r="J10" s="70" t="n"/>
      <c r="K10" s="74" t="n"/>
      <c r="L10" s="70" t="n"/>
      <c r="M10" s="75">
        <f>IF(AND(E10&lt;&gt;"",F10&lt;&gt;"",G10&lt;&gt;"",H10&lt;&gt;"",I10&lt;&gt;"",J10&lt;&gt;""),(E10+2*I10)*(F10+2*I10)*(G10+H10)/1000000000*J10,0)</f>
        <v/>
      </c>
      <c r="N10" s="75">
        <f>IF(AND(E10&lt;&gt;"",F10&lt;&gt;"",H10&lt;&gt;"",I10&lt;&gt;"",J10&lt;&gt;""),(E10+2*I10)*(F10+2*I10)*H10/1000000000*J10,0)</f>
        <v/>
      </c>
      <c r="O10" s="75">
        <f>IF(AND(E10&lt;&gt;"",F10&lt;&gt;"",G10&lt;&gt;"",J10&lt;&gt;""),E10*F10*G10/1000000000*J10,0)</f>
        <v/>
      </c>
      <c r="P10" s="75">
        <f>IF(M10&gt;0,M10-N10-O10,0)</f>
        <v/>
      </c>
      <c r="Q10" s="75">
        <f>IF(AND(K10&lt;&gt;"",L10&lt;&gt;"",E10&lt;&gt;"",F10&lt;&gt;"",J10&lt;&gt;""),VLOOKUP(K10,'1-專案資訊'!A25:I33,4,0)*((E10/1000/L10*1000*F10/1000)+(F10/1000/L10*1000*E10/1000))*1.2*J10,0)</f>
        <v/>
      </c>
      <c r="R10" s="75">
        <f>IF(AND(E10&lt;&gt;"",F10&lt;&gt;"",G10&lt;&gt;"",J10&lt;&gt;""),2*(E10+F10)*G10/1000000*J10,0)</f>
        <v/>
      </c>
      <c r="S10" s="75">
        <f>IF(OR(K10="#3 (D10)",K10="#4 (D13)",K10="#5 (D16)"),Q10,0)</f>
        <v/>
      </c>
      <c r="T10" s="75">
        <f>IF(AND(K10&lt;&gt;"",K10&lt;&gt;"#3 (D10)",K10&lt;&gt;"#4 (D13)",K10&lt;&gt;"#5 (D16)"),Q10,0)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 t="n"/>
      <c r="H11" s="70" t="n"/>
      <c r="I11" s="70" t="n"/>
      <c r="J11" s="70" t="n"/>
      <c r="K11" s="74" t="n"/>
      <c r="L11" s="70" t="n"/>
      <c r="M11" s="75">
        <f>IF(AND(E11&lt;&gt;"",F11&lt;&gt;"",G11&lt;&gt;"",H11&lt;&gt;"",I11&lt;&gt;"",J11&lt;&gt;""),(E11+2*I11)*(F11+2*I11)*(G11+H11)/1000000000*J11,0)</f>
        <v/>
      </c>
      <c r="N11" s="75">
        <f>IF(AND(E11&lt;&gt;"",F11&lt;&gt;"",H11&lt;&gt;"",I11&lt;&gt;"",J11&lt;&gt;""),(E11+2*I11)*(F11+2*I11)*H11/1000000000*J11,0)</f>
        <v/>
      </c>
      <c r="O11" s="75">
        <f>IF(AND(E11&lt;&gt;"",F11&lt;&gt;"",G11&lt;&gt;"",J11&lt;&gt;""),E11*F11*G11/1000000000*J11,0)</f>
        <v/>
      </c>
      <c r="P11" s="75">
        <f>IF(M11&gt;0,M11-N11-O11,0)</f>
        <v/>
      </c>
      <c r="Q11" s="75">
        <f>IF(AND(K11&lt;&gt;"",L11&lt;&gt;"",E11&lt;&gt;"",F11&lt;&gt;"",J11&lt;&gt;""),VLOOKUP(K11,'1-專案資訊'!A25:I33,4,0)*((E11/1000/L11*1000*F11/1000)+(F11/1000/L11*1000*E11/1000))*1.2*J11,0)</f>
        <v/>
      </c>
      <c r="R11" s="75">
        <f>IF(AND(E11&lt;&gt;"",F11&lt;&gt;"",G11&lt;&gt;"",J11&lt;&gt;""),2*(E11+F11)*G11/1000000*J11,0)</f>
        <v/>
      </c>
      <c r="S11" s="75">
        <f>IF(OR(K11="#3 (D10)",K11="#4 (D13)",K11="#5 (D16)"),Q11,0)</f>
        <v/>
      </c>
      <c r="T11" s="75">
        <f>IF(AND(K11&lt;&gt;"",K11&lt;&gt;"#3 (D10)",K11&lt;&gt;"#4 (D13)",K11&lt;&gt;"#5 (D16)"),Q11,0)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 t="n"/>
      <c r="H12" s="70" t="n"/>
      <c r="I12" s="70" t="n"/>
      <c r="J12" s="70" t="n"/>
      <c r="K12" s="74" t="n"/>
      <c r="L12" s="70" t="n"/>
      <c r="M12" s="75">
        <f>IF(AND(E12&lt;&gt;"",F12&lt;&gt;"",G12&lt;&gt;"",H12&lt;&gt;"",I12&lt;&gt;"",J12&lt;&gt;""),(E12+2*I12)*(F12+2*I12)*(G12+H12)/1000000000*J12,0)</f>
        <v/>
      </c>
      <c r="N12" s="75">
        <f>IF(AND(E12&lt;&gt;"",F12&lt;&gt;"",H12&lt;&gt;"",I12&lt;&gt;"",J12&lt;&gt;""),(E12+2*I12)*(F12+2*I12)*H12/1000000000*J12,0)</f>
        <v/>
      </c>
      <c r="O12" s="75">
        <f>IF(AND(E12&lt;&gt;"",F12&lt;&gt;"",G12&lt;&gt;"",J12&lt;&gt;""),E12*F12*G12/1000000000*J12,0)</f>
        <v/>
      </c>
      <c r="P12" s="75">
        <f>IF(M12&gt;0,M12-N12-O12,0)</f>
        <v/>
      </c>
      <c r="Q12" s="75">
        <f>IF(AND(K12&lt;&gt;"",L12&lt;&gt;"",E12&lt;&gt;"",F12&lt;&gt;"",J12&lt;&gt;""),VLOOKUP(K12,'1-專案資訊'!A25:I33,4,0)*((E12/1000/L12*1000*F12/1000)+(F12/1000/L12*1000*E12/1000))*1.2*J12,0)</f>
        <v/>
      </c>
      <c r="R12" s="75">
        <f>IF(AND(E12&lt;&gt;"",F12&lt;&gt;"",G12&lt;&gt;"",J12&lt;&gt;""),2*(E12+F12)*G12/1000000*J12,0)</f>
        <v/>
      </c>
      <c r="S12" s="75">
        <f>IF(OR(K12="#3 (D10)",K12="#4 (D13)",K12="#5 (D16)"),Q12,0)</f>
        <v/>
      </c>
      <c r="T12" s="75">
        <f>IF(AND(K12&lt;&gt;"",K12&lt;&gt;"#3 (D10)",K12&lt;&gt;"#4 (D13)",K12&lt;&gt;"#5 (D16)"),Q12,0)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 t="n"/>
      <c r="H13" s="70" t="n"/>
      <c r="I13" s="70" t="n"/>
      <c r="J13" s="70" t="n"/>
      <c r="K13" s="74" t="n"/>
      <c r="L13" s="70" t="n"/>
      <c r="M13" s="75">
        <f>IF(AND(E13&lt;&gt;"",F13&lt;&gt;"",G13&lt;&gt;"",H13&lt;&gt;"",I13&lt;&gt;"",J13&lt;&gt;""),(E13+2*I13)*(F13+2*I13)*(G13+H13)/1000000000*J13,0)</f>
        <v/>
      </c>
      <c r="N13" s="75">
        <f>IF(AND(E13&lt;&gt;"",F13&lt;&gt;"",H13&lt;&gt;"",I13&lt;&gt;"",J13&lt;&gt;""),(E13+2*I13)*(F13+2*I13)*H13/1000000000*J13,0)</f>
        <v/>
      </c>
      <c r="O13" s="75">
        <f>IF(AND(E13&lt;&gt;"",F13&lt;&gt;"",G13&lt;&gt;"",J13&lt;&gt;""),E13*F13*G13/1000000000*J13,0)</f>
        <v/>
      </c>
      <c r="P13" s="75">
        <f>IF(M13&gt;0,M13-N13-O13,0)</f>
        <v/>
      </c>
      <c r="Q13" s="75">
        <f>IF(AND(K13&lt;&gt;"",L13&lt;&gt;"",E13&lt;&gt;"",F13&lt;&gt;"",J13&lt;&gt;""),VLOOKUP(K13,'1-專案資訊'!A25:I33,4,0)*((E13/1000/L13*1000*F13/1000)+(F13/1000/L13*1000*E13/1000))*1.2*J13,0)</f>
        <v/>
      </c>
      <c r="R13" s="75">
        <f>IF(AND(E13&lt;&gt;"",F13&lt;&gt;"",G13&lt;&gt;"",J13&lt;&gt;""),2*(E13+F13)*G13/1000000*J13,0)</f>
        <v/>
      </c>
      <c r="S13" s="75">
        <f>IF(OR(K13="#3 (D10)",K13="#4 (D13)",K13="#5 (D16)"),Q13,0)</f>
        <v/>
      </c>
      <c r="T13" s="75">
        <f>IF(AND(K13&lt;&gt;"",K13&lt;&gt;"#3 (D10)",K13&lt;&gt;"#4 (D13)",K13&lt;&gt;"#5 (D16)"),Q13,0)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 t="n"/>
      <c r="H14" s="70" t="n"/>
      <c r="I14" s="70" t="n"/>
      <c r="J14" s="70" t="n"/>
      <c r="K14" s="74" t="n"/>
      <c r="L14" s="70" t="n"/>
      <c r="M14" s="75">
        <f>IF(AND(E14&lt;&gt;"",F14&lt;&gt;"",G14&lt;&gt;"",H14&lt;&gt;"",I14&lt;&gt;"",J14&lt;&gt;""),(E14+2*I14)*(F14+2*I14)*(G14+H14)/1000000000*J14,0)</f>
        <v/>
      </c>
      <c r="N14" s="75">
        <f>IF(AND(E14&lt;&gt;"",F14&lt;&gt;"",H14&lt;&gt;"",I14&lt;&gt;"",J14&lt;&gt;""),(E14+2*I14)*(F14+2*I14)*H14/1000000000*J14,0)</f>
        <v/>
      </c>
      <c r="O14" s="75">
        <f>IF(AND(E14&lt;&gt;"",F14&lt;&gt;"",G14&lt;&gt;"",J14&lt;&gt;""),E14*F14*G14/1000000000*J14,0)</f>
        <v/>
      </c>
      <c r="P14" s="75">
        <f>IF(M14&gt;0,M14-N14-O14,0)</f>
        <v/>
      </c>
      <c r="Q14" s="75">
        <f>IF(AND(K14&lt;&gt;"",L14&lt;&gt;"",E14&lt;&gt;"",F14&lt;&gt;"",J14&lt;&gt;""),VLOOKUP(K14,'1-專案資訊'!A25:I33,4,0)*((E14/1000/L14*1000*F14/1000)+(F14/1000/L14*1000*E14/1000))*1.2*J14,0)</f>
        <v/>
      </c>
      <c r="R14" s="75">
        <f>IF(AND(E14&lt;&gt;"",F14&lt;&gt;"",G14&lt;&gt;"",J14&lt;&gt;""),2*(E14+F14)*G14/1000000*J14,0)</f>
        <v/>
      </c>
      <c r="S14" s="75">
        <f>IF(OR(K14="#3 (D10)",K14="#4 (D13)",K14="#5 (D16)"),Q14,0)</f>
        <v/>
      </c>
      <c r="T14" s="75">
        <f>IF(AND(K14&lt;&gt;"",K14&lt;&gt;"#3 (D10)",K14&lt;&gt;"#4 (D13)",K14&lt;&gt;"#5 (D16)"),Q14,0)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 t="n"/>
      <c r="H15" s="70" t="n"/>
      <c r="I15" s="70" t="n"/>
      <c r="J15" s="70" t="n"/>
      <c r="K15" s="74" t="n"/>
      <c r="L15" s="70" t="n"/>
      <c r="M15" s="75">
        <f>IF(AND(E15&lt;&gt;"",F15&lt;&gt;"",G15&lt;&gt;"",H15&lt;&gt;"",I15&lt;&gt;"",J15&lt;&gt;""),(E15+2*I15)*(F15+2*I15)*(G15+H15)/1000000000*J15,0)</f>
        <v/>
      </c>
      <c r="N15" s="75">
        <f>IF(AND(E15&lt;&gt;"",F15&lt;&gt;"",H15&lt;&gt;"",I15&lt;&gt;"",J15&lt;&gt;""),(E15+2*I15)*(F15+2*I15)*H15/1000000000*J15,0)</f>
        <v/>
      </c>
      <c r="O15" s="75">
        <f>IF(AND(E15&lt;&gt;"",F15&lt;&gt;"",G15&lt;&gt;"",J15&lt;&gt;""),E15*F15*G15/1000000000*J15,0)</f>
        <v/>
      </c>
      <c r="P15" s="75">
        <f>IF(M15&gt;0,M15-N15-O15,0)</f>
        <v/>
      </c>
      <c r="Q15" s="75">
        <f>IF(AND(K15&lt;&gt;"",L15&lt;&gt;"",E15&lt;&gt;"",F15&lt;&gt;"",J15&lt;&gt;""),VLOOKUP(K15,'1-專案資訊'!A25:I33,4,0)*((E15/1000/L15*1000*F15/1000)+(F15/1000/L15*1000*E15/1000))*1.2*J15,0)</f>
        <v/>
      </c>
      <c r="R15" s="75">
        <f>IF(AND(E15&lt;&gt;"",F15&lt;&gt;"",G15&lt;&gt;"",J15&lt;&gt;""),2*(E15+F15)*G15/1000000*J15,0)</f>
        <v/>
      </c>
      <c r="S15" s="75">
        <f>IF(OR(K15="#3 (D10)",K15="#4 (D13)",K15="#5 (D16)"),Q15,0)</f>
        <v/>
      </c>
      <c r="T15" s="75">
        <f>IF(AND(K15&lt;&gt;"",K15&lt;&gt;"#3 (D10)",K15&lt;&gt;"#4 (D13)",K15&lt;&gt;"#5 (D16)"),Q15,0)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 t="n"/>
      <c r="H16" s="70" t="n"/>
      <c r="I16" s="70" t="n"/>
      <c r="J16" s="70" t="n"/>
      <c r="K16" s="74" t="n"/>
      <c r="L16" s="70" t="n"/>
      <c r="M16" s="75">
        <f>IF(AND(E16&lt;&gt;"",F16&lt;&gt;"",G16&lt;&gt;"",H16&lt;&gt;"",I16&lt;&gt;"",J16&lt;&gt;""),(E16+2*I16)*(F16+2*I16)*(G16+H16)/1000000000*J16,0)</f>
        <v/>
      </c>
      <c r="N16" s="75">
        <f>IF(AND(E16&lt;&gt;"",F16&lt;&gt;"",H16&lt;&gt;"",I16&lt;&gt;"",J16&lt;&gt;""),(E16+2*I16)*(F16+2*I16)*H16/1000000000*J16,0)</f>
        <v/>
      </c>
      <c r="O16" s="75">
        <f>IF(AND(E16&lt;&gt;"",F16&lt;&gt;"",G16&lt;&gt;"",J16&lt;&gt;""),E16*F16*G16/1000000000*J16,0)</f>
        <v/>
      </c>
      <c r="P16" s="75">
        <f>IF(M16&gt;0,M16-N16-O16,0)</f>
        <v/>
      </c>
      <c r="Q16" s="75">
        <f>IF(AND(K16&lt;&gt;"",L16&lt;&gt;"",E16&lt;&gt;"",F16&lt;&gt;"",J16&lt;&gt;""),VLOOKUP(K16,'1-專案資訊'!A25:I33,4,0)*((E16/1000/L16*1000*F16/1000)+(F16/1000/L16*1000*E16/1000))*1.2*J16,0)</f>
        <v/>
      </c>
      <c r="R16" s="75">
        <f>IF(AND(E16&lt;&gt;"",F16&lt;&gt;"",G16&lt;&gt;"",J16&lt;&gt;""),2*(E16+F16)*G16/1000000*J16,0)</f>
        <v/>
      </c>
      <c r="S16" s="75">
        <f>IF(OR(K16="#3 (D10)",K16="#4 (D13)",K16="#5 (D16)"),Q16,0)</f>
        <v/>
      </c>
      <c r="T16" s="75">
        <f>IF(AND(K16&lt;&gt;"",K16&lt;&gt;"#3 (D10)",K16&lt;&gt;"#4 (D13)",K16&lt;&gt;"#5 (D16)"),Q16,0)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 t="n"/>
      <c r="H17" s="70" t="n"/>
      <c r="I17" s="70" t="n"/>
      <c r="J17" s="70" t="n"/>
      <c r="K17" s="74" t="n"/>
      <c r="L17" s="70" t="n"/>
      <c r="M17" s="75">
        <f>IF(AND(E17&lt;&gt;"",F17&lt;&gt;"",G17&lt;&gt;"",H17&lt;&gt;"",I17&lt;&gt;"",J17&lt;&gt;""),(E17+2*I17)*(F17+2*I17)*(G17+H17)/1000000000*J17,0)</f>
        <v/>
      </c>
      <c r="N17" s="75">
        <f>IF(AND(E17&lt;&gt;"",F17&lt;&gt;"",H17&lt;&gt;"",I17&lt;&gt;"",J17&lt;&gt;""),(E17+2*I17)*(F17+2*I17)*H17/1000000000*J17,0)</f>
        <v/>
      </c>
      <c r="O17" s="75">
        <f>IF(AND(E17&lt;&gt;"",F17&lt;&gt;"",G17&lt;&gt;"",J17&lt;&gt;""),E17*F17*G17/1000000000*J17,0)</f>
        <v/>
      </c>
      <c r="P17" s="75">
        <f>IF(M17&gt;0,M17-N17-O17,0)</f>
        <v/>
      </c>
      <c r="Q17" s="75">
        <f>IF(AND(K17&lt;&gt;"",L17&lt;&gt;"",E17&lt;&gt;"",F17&lt;&gt;"",J17&lt;&gt;""),VLOOKUP(K17,'1-專案資訊'!A25:I33,4,0)*((E17/1000/L17*1000*F17/1000)+(F17/1000/L17*1000*E17/1000))*1.2*J17,0)</f>
        <v/>
      </c>
      <c r="R17" s="75">
        <f>IF(AND(E17&lt;&gt;"",F17&lt;&gt;"",G17&lt;&gt;"",J17&lt;&gt;""),2*(E17+F17)*G17/1000000*J17,0)</f>
        <v/>
      </c>
      <c r="S17" s="75">
        <f>IF(OR(K17="#3 (D10)",K17="#4 (D13)",K17="#5 (D16)"),Q17,0)</f>
        <v/>
      </c>
      <c r="T17" s="75">
        <f>IF(AND(K17&lt;&gt;"",K17&lt;&gt;"#3 (D10)",K17&lt;&gt;"#4 (D13)",K17&lt;&gt;"#5 (D16)"),Q17,0)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 t="n"/>
      <c r="H18" s="70" t="n"/>
      <c r="I18" s="70" t="n"/>
      <c r="J18" s="70" t="n"/>
      <c r="K18" s="74" t="n"/>
      <c r="L18" s="70" t="n"/>
      <c r="M18" s="75">
        <f>IF(AND(E18&lt;&gt;"",F18&lt;&gt;"",G18&lt;&gt;"",H18&lt;&gt;"",I18&lt;&gt;"",J18&lt;&gt;""),(E18+2*I18)*(F18+2*I18)*(G18+H18)/1000000000*J18,0)</f>
        <v/>
      </c>
      <c r="N18" s="75">
        <f>IF(AND(E18&lt;&gt;"",F18&lt;&gt;"",H18&lt;&gt;"",I18&lt;&gt;"",J18&lt;&gt;""),(E18+2*I18)*(F18+2*I18)*H18/1000000000*J18,0)</f>
        <v/>
      </c>
      <c r="O18" s="75">
        <f>IF(AND(E18&lt;&gt;"",F18&lt;&gt;"",G18&lt;&gt;"",J18&lt;&gt;""),E18*F18*G18/1000000000*J18,0)</f>
        <v/>
      </c>
      <c r="P18" s="75">
        <f>IF(M18&gt;0,M18-N18-O18,0)</f>
        <v/>
      </c>
      <c r="Q18" s="75">
        <f>IF(AND(K18&lt;&gt;"",L18&lt;&gt;"",E18&lt;&gt;"",F18&lt;&gt;"",J18&lt;&gt;""),VLOOKUP(K18,'1-專案資訊'!A25:I33,4,0)*((E18/1000/L18*1000*F18/1000)+(F18/1000/L18*1000*E18/1000))*1.2*J18,0)</f>
        <v/>
      </c>
      <c r="R18" s="75">
        <f>IF(AND(E18&lt;&gt;"",F18&lt;&gt;"",G18&lt;&gt;"",J18&lt;&gt;""),2*(E18+F18)*G18/1000000*J18,0)</f>
        <v/>
      </c>
      <c r="S18" s="75">
        <f>IF(OR(K18="#3 (D10)",K18="#4 (D13)",K18="#5 (D16)"),Q18,0)</f>
        <v/>
      </c>
      <c r="T18" s="75">
        <f>IF(AND(K18&lt;&gt;"",K18&lt;&gt;"#3 (D10)",K18&lt;&gt;"#4 (D13)",K18&lt;&gt;"#5 (D16)"),Q18,0)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 t="n"/>
      <c r="H19" s="70" t="n"/>
      <c r="I19" s="70" t="n"/>
      <c r="J19" s="70" t="n"/>
      <c r="K19" s="74" t="n"/>
      <c r="L19" s="70" t="n"/>
      <c r="M19" s="75">
        <f>IF(AND(E19&lt;&gt;"",F19&lt;&gt;"",G19&lt;&gt;"",H19&lt;&gt;"",I19&lt;&gt;"",J19&lt;&gt;""),(E19+2*I19)*(F19+2*I19)*(G19+H19)/1000000000*J19,0)</f>
        <v/>
      </c>
      <c r="N19" s="75">
        <f>IF(AND(E19&lt;&gt;"",F19&lt;&gt;"",H19&lt;&gt;"",I19&lt;&gt;"",J19&lt;&gt;""),(E19+2*I19)*(F19+2*I19)*H19/1000000000*J19,0)</f>
        <v/>
      </c>
      <c r="O19" s="75">
        <f>IF(AND(E19&lt;&gt;"",F19&lt;&gt;"",G19&lt;&gt;"",J19&lt;&gt;""),E19*F19*G19/1000000000*J19,0)</f>
        <v/>
      </c>
      <c r="P19" s="75">
        <f>IF(M19&gt;0,M19-N19-O19,0)</f>
        <v/>
      </c>
      <c r="Q19" s="75">
        <f>IF(AND(K19&lt;&gt;"",L19&lt;&gt;"",E19&lt;&gt;"",F19&lt;&gt;"",J19&lt;&gt;""),VLOOKUP(K19,'1-專案資訊'!A25:I33,4,0)*((E19/1000/L19*1000*F19/1000)+(F19/1000/L19*1000*E19/1000))*1.2*J19,0)</f>
        <v/>
      </c>
      <c r="R19" s="75">
        <f>IF(AND(E19&lt;&gt;"",F19&lt;&gt;"",G19&lt;&gt;"",J19&lt;&gt;""),2*(E19+F19)*G19/1000000*J19,0)</f>
        <v/>
      </c>
      <c r="S19" s="75">
        <f>IF(OR(K19="#3 (D10)",K19="#4 (D13)",K19="#5 (D16)"),Q19,0)</f>
        <v/>
      </c>
      <c r="T19" s="75">
        <f>IF(AND(K19&lt;&gt;"",K19&lt;&gt;"#3 (D10)",K19&lt;&gt;"#4 (D13)",K19&lt;&gt;"#5 (D16)"),Q19,0)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 t="n"/>
      <c r="H20" s="70" t="n"/>
      <c r="I20" s="70" t="n"/>
      <c r="J20" s="70" t="n"/>
      <c r="K20" s="74" t="n"/>
      <c r="L20" s="70" t="n"/>
      <c r="M20" s="75">
        <f>IF(AND(E20&lt;&gt;"",F20&lt;&gt;"",G20&lt;&gt;"",H20&lt;&gt;"",I20&lt;&gt;"",J20&lt;&gt;""),(E20+2*I20)*(F20+2*I20)*(G20+H20)/1000000000*J20,0)</f>
        <v/>
      </c>
      <c r="N20" s="75">
        <f>IF(AND(E20&lt;&gt;"",F20&lt;&gt;"",H20&lt;&gt;"",I20&lt;&gt;"",J20&lt;&gt;""),(E20+2*I20)*(F20+2*I20)*H20/1000000000*J20,0)</f>
        <v/>
      </c>
      <c r="O20" s="75">
        <f>IF(AND(E20&lt;&gt;"",F20&lt;&gt;"",G20&lt;&gt;"",J20&lt;&gt;""),E20*F20*G20/1000000000*J20,0)</f>
        <v/>
      </c>
      <c r="P20" s="75">
        <f>IF(M20&gt;0,M20-N20-O20,0)</f>
        <v/>
      </c>
      <c r="Q20" s="75">
        <f>IF(AND(K20&lt;&gt;"",L20&lt;&gt;"",E20&lt;&gt;"",F20&lt;&gt;"",J20&lt;&gt;""),VLOOKUP(K20,'1-專案資訊'!A25:I33,4,0)*((E20/1000/L20*1000*F20/1000)+(F20/1000/L20*1000*E20/1000))*1.2*J20,0)</f>
        <v/>
      </c>
      <c r="R20" s="75">
        <f>IF(AND(E20&lt;&gt;"",F20&lt;&gt;"",G20&lt;&gt;"",J20&lt;&gt;""),2*(E20+F20)*G20/1000000*J20,0)</f>
        <v/>
      </c>
      <c r="S20" s="75">
        <f>IF(OR(K20="#3 (D10)",K20="#4 (D13)",K20="#5 (D16)"),Q20,0)</f>
        <v/>
      </c>
      <c r="T20" s="75">
        <f>IF(AND(K20&lt;&gt;"",K20&lt;&gt;"#3 (D10)",K20&lt;&gt;"#4 (D13)",K20&lt;&gt;"#5 (D16)"),Q20,0)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 t="n"/>
      <c r="H21" s="70" t="n"/>
      <c r="I21" s="70" t="n"/>
      <c r="J21" s="70" t="n"/>
      <c r="K21" s="74" t="n"/>
      <c r="L21" s="70" t="n"/>
      <c r="M21" s="75">
        <f>IF(AND(E21&lt;&gt;"",F21&lt;&gt;"",G21&lt;&gt;"",H21&lt;&gt;"",I21&lt;&gt;"",J21&lt;&gt;""),(E21+2*I21)*(F21+2*I21)*(G21+H21)/1000000000*J21,0)</f>
        <v/>
      </c>
      <c r="N21" s="75">
        <f>IF(AND(E21&lt;&gt;"",F21&lt;&gt;"",H21&lt;&gt;"",I21&lt;&gt;"",J21&lt;&gt;""),(E21+2*I21)*(F21+2*I21)*H21/1000000000*J21,0)</f>
        <v/>
      </c>
      <c r="O21" s="75">
        <f>IF(AND(E21&lt;&gt;"",F21&lt;&gt;"",G21&lt;&gt;"",J21&lt;&gt;""),E21*F21*G21/1000000000*J21,0)</f>
        <v/>
      </c>
      <c r="P21" s="75">
        <f>IF(M21&gt;0,M21-N21-O21,0)</f>
        <v/>
      </c>
      <c r="Q21" s="75">
        <f>IF(AND(K21&lt;&gt;"",L21&lt;&gt;"",E21&lt;&gt;"",F21&lt;&gt;"",J21&lt;&gt;""),VLOOKUP(K21,'1-專案資訊'!A25:I33,4,0)*((E21/1000/L21*1000*F21/1000)+(F21/1000/L21*1000*E21/1000))*1.2*J21,0)</f>
        <v/>
      </c>
      <c r="R21" s="75">
        <f>IF(AND(E21&lt;&gt;"",F21&lt;&gt;"",G21&lt;&gt;"",J21&lt;&gt;""),2*(E21+F21)*G21/1000000*J21,0)</f>
        <v/>
      </c>
      <c r="S21" s="75">
        <f>IF(OR(K21="#3 (D10)",K21="#4 (D13)",K21="#5 (D16)"),Q21,0)</f>
        <v/>
      </c>
      <c r="T21" s="75">
        <f>IF(AND(K21&lt;&gt;"",K21&lt;&gt;"#3 (D10)",K21&lt;&gt;"#4 (D13)",K21&lt;&gt;"#5 (D16)"),Q21,0)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 t="n"/>
      <c r="H22" s="70" t="n"/>
      <c r="I22" s="70" t="n"/>
      <c r="J22" s="70" t="n"/>
      <c r="K22" s="74" t="n"/>
      <c r="L22" s="70" t="n"/>
      <c r="M22" s="75">
        <f>IF(AND(E22&lt;&gt;"",F22&lt;&gt;"",G22&lt;&gt;"",H22&lt;&gt;"",I22&lt;&gt;"",J22&lt;&gt;""),(E22+2*I22)*(F22+2*I22)*(G22+H22)/1000000000*J22,0)</f>
        <v/>
      </c>
      <c r="N22" s="75">
        <f>IF(AND(E22&lt;&gt;"",F22&lt;&gt;"",H22&lt;&gt;"",I22&lt;&gt;"",J22&lt;&gt;""),(E22+2*I22)*(F22+2*I22)*H22/1000000000*J22,0)</f>
        <v/>
      </c>
      <c r="O22" s="75">
        <f>IF(AND(E22&lt;&gt;"",F22&lt;&gt;"",G22&lt;&gt;"",J22&lt;&gt;""),E22*F22*G22/1000000000*J22,0)</f>
        <v/>
      </c>
      <c r="P22" s="75">
        <f>IF(M22&gt;0,M22-N22-O22,0)</f>
        <v/>
      </c>
      <c r="Q22" s="75">
        <f>IF(AND(K22&lt;&gt;"",L22&lt;&gt;"",E22&lt;&gt;"",F22&lt;&gt;"",J22&lt;&gt;""),VLOOKUP(K22,'1-專案資訊'!A25:I33,4,0)*((E22/1000/L22*1000*F22/1000)+(F22/1000/L22*1000*E22/1000))*1.2*J22,0)</f>
        <v/>
      </c>
      <c r="R22" s="75">
        <f>IF(AND(E22&lt;&gt;"",F22&lt;&gt;"",G22&lt;&gt;"",J22&lt;&gt;""),2*(E22+F22)*G22/1000000*J22,0)</f>
        <v/>
      </c>
      <c r="S22" s="75">
        <f>IF(OR(K22="#3 (D10)",K22="#4 (D13)",K22="#5 (D16)"),Q22,0)</f>
        <v/>
      </c>
      <c r="T22" s="75">
        <f>IF(AND(K22&lt;&gt;"",K22&lt;&gt;"#3 (D10)",K22&lt;&gt;"#4 (D13)",K22&lt;&gt;"#5 (D16)"),Q22,0)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 t="n"/>
      <c r="H23" s="70" t="n"/>
      <c r="I23" s="70" t="n"/>
      <c r="J23" s="70" t="n"/>
      <c r="K23" s="74" t="n"/>
      <c r="L23" s="70" t="n"/>
      <c r="M23" s="75">
        <f>IF(AND(E23&lt;&gt;"",F23&lt;&gt;"",G23&lt;&gt;"",H23&lt;&gt;"",I23&lt;&gt;"",J23&lt;&gt;""),(E23+2*I23)*(F23+2*I23)*(G23+H23)/1000000000*J23,0)</f>
        <v/>
      </c>
      <c r="N23" s="75">
        <f>IF(AND(E23&lt;&gt;"",F23&lt;&gt;"",H23&lt;&gt;"",I23&lt;&gt;"",J23&lt;&gt;""),(E23+2*I23)*(F23+2*I23)*H23/1000000000*J23,0)</f>
        <v/>
      </c>
      <c r="O23" s="75">
        <f>IF(AND(E23&lt;&gt;"",F23&lt;&gt;"",G23&lt;&gt;"",J23&lt;&gt;""),E23*F23*G23/1000000000*J23,0)</f>
        <v/>
      </c>
      <c r="P23" s="75">
        <f>IF(M23&gt;0,M23-N23-O23,0)</f>
        <v/>
      </c>
      <c r="Q23" s="75">
        <f>IF(AND(K23&lt;&gt;"",L23&lt;&gt;"",E23&lt;&gt;"",F23&lt;&gt;"",J23&lt;&gt;""),VLOOKUP(K23,'1-專案資訊'!A25:I33,4,0)*((E23/1000/L23*1000*F23/1000)+(F23/1000/L23*1000*E23/1000))*1.2*J23,0)</f>
        <v/>
      </c>
      <c r="R23" s="75">
        <f>IF(AND(E23&lt;&gt;"",F23&lt;&gt;"",G23&lt;&gt;"",J23&lt;&gt;""),2*(E23+F23)*G23/1000000*J23,0)</f>
        <v/>
      </c>
      <c r="S23" s="75">
        <f>IF(OR(K23="#3 (D10)",K23="#4 (D13)",K23="#5 (D16)"),Q23,0)</f>
        <v/>
      </c>
      <c r="T23" s="75">
        <f>IF(AND(K23&lt;&gt;"",K23&lt;&gt;"#3 (D10)",K23&lt;&gt;"#4 (D13)",K23&lt;&gt;"#5 (D16)"),Q23,0)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 t="n"/>
      <c r="H24" s="70" t="n"/>
      <c r="I24" s="70" t="n"/>
      <c r="J24" s="70" t="n"/>
      <c r="K24" s="74" t="n"/>
      <c r="L24" s="70" t="n"/>
      <c r="M24" s="75">
        <f>IF(AND(E24&lt;&gt;"",F24&lt;&gt;"",G24&lt;&gt;"",H24&lt;&gt;"",I24&lt;&gt;"",J24&lt;&gt;""),(E24+2*I24)*(F24+2*I24)*(G24+H24)/1000000000*J24,0)</f>
        <v/>
      </c>
      <c r="N24" s="75">
        <f>IF(AND(E24&lt;&gt;"",F24&lt;&gt;"",H24&lt;&gt;"",I24&lt;&gt;"",J24&lt;&gt;""),(E24+2*I24)*(F24+2*I24)*H24/1000000000*J24,0)</f>
        <v/>
      </c>
      <c r="O24" s="75">
        <f>IF(AND(E24&lt;&gt;"",F24&lt;&gt;"",G24&lt;&gt;"",J24&lt;&gt;""),E24*F24*G24/1000000000*J24,0)</f>
        <v/>
      </c>
      <c r="P24" s="75">
        <f>IF(M24&gt;0,M24-N24-O24,0)</f>
        <v/>
      </c>
      <c r="Q24" s="75">
        <f>IF(AND(K24&lt;&gt;"",L24&lt;&gt;"",E24&lt;&gt;"",F24&lt;&gt;"",J24&lt;&gt;""),VLOOKUP(K24,'1-專案資訊'!A25:I33,4,0)*((E24/1000/L24*1000*F24/1000)+(F24/1000/L24*1000*E24/1000))*1.2*J24,0)</f>
        <v/>
      </c>
      <c r="R24" s="75">
        <f>IF(AND(E24&lt;&gt;"",F24&lt;&gt;"",G24&lt;&gt;"",J24&lt;&gt;""),2*(E24+F24)*G24/1000000*J24,0)</f>
        <v/>
      </c>
      <c r="S24" s="75">
        <f>IF(OR(K24="#3 (D10)",K24="#4 (D13)",K24="#5 (D16)"),Q24,0)</f>
        <v/>
      </c>
      <c r="T24" s="75">
        <f>IF(AND(K24&lt;&gt;"",K24&lt;&gt;"#3 (D10)",K24&lt;&gt;"#4 (D13)",K24&lt;&gt;"#5 (D16)"),Q24,0)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 t="n"/>
      <c r="H25" s="70" t="n"/>
      <c r="I25" s="70" t="n"/>
      <c r="J25" s="70" t="n"/>
      <c r="K25" s="74" t="n"/>
      <c r="L25" s="70" t="n"/>
      <c r="M25" s="75">
        <f>IF(AND(E25&lt;&gt;"",F25&lt;&gt;"",G25&lt;&gt;"",H25&lt;&gt;"",I25&lt;&gt;"",J25&lt;&gt;""),(E25+2*I25)*(F25+2*I25)*(G25+H25)/1000000000*J25,0)</f>
        <v/>
      </c>
      <c r="N25" s="75">
        <f>IF(AND(E25&lt;&gt;"",F25&lt;&gt;"",H25&lt;&gt;"",I25&lt;&gt;"",J25&lt;&gt;""),(E25+2*I25)*(F25+2*I25)*H25/1000000000*J25,0)</f>
        <v/>
      </c>
      <c r="O25" s="75">
        <f>IF(AND(E25&lt;&gt;"",F25&lt;&gt;"",G25&lt;&gt;"",J25&lt;&gt;""),E25*F25*G25/1000000000*J25,0)</f>
        <v/>
      </c>
      <c r="P25" s="75">
        <f>IF(M25&gt;0,M25-N25-O25,0)</f>
        <v/>
      </c>
      <c r="Q25" s="75">
        <f>IF(AND(K25&lt;&gt;"",L25&lt;&gt;"",E25&lt;&gt;"",F25&lt;&gt;"",J25&lt;&gt;""),VLOOKUP(K25,'1-專案資訊'!A25:I33,4,0)*((E25/1000/L25*1000*F25/1000)+(F25/1000/L25*1000*E25/1000))*1.2*J25,0)</f>
        <v/>
      </c>
      <c r="R25" s="75">
        <f>IF(AND(E25&lt;&gt;"",F25&lt;&gt;"",G25&lt;&gt;"",J25&lt;&gt;""),2*(E25+F25)*G25/1000000*J25,0)</f>
        <v/>
      </c>
      <c r="S25" s="75">
        <f>IF(OR(K25="#3 (D10)",K25="#4 (D13)",K25="#5 (D16)"),Q25,0)</f>
        <v/>
      </c>
      <c r="T25" s="75">
        <f>IF(AND(K25&lt;&gt;"",K25&lt;&gt;"#3 (D10)",K25&lt;&gt;"#4 (D13)",K25&lt;&gt;"#5 (D16)"),Q25,0)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 t="n"/>
      <c r="H26" s="70" t="n"/>
      <c r="I26" s="70" t="n"/>
      <c r="J26" s="70" t="n"/>
      <c r="K26" s="74" t="n"/>
      <c r="L26" s="70" t="n"/>
      <c r="M26" s="75">
        <f>IF(AND(E26&lt;&gt;"",F26&lt;&gt;"",G26&lt;&gt;"",H26&lt;&gt;"",I26&lt;&gt;"",J26&lt;&gt;""),(E26+2*I26)*(F26+2*I26)*(G26+H26)/1000000000*J26,0)</f>
        <v/>
      </c>
      <c r="N26" s="75">
        <f>IF(AND(E26&lt;&gt;"",F26&lt;&gt;"",H26&lt;&gt;"",I26&lt;&gt;"",J26&lt;&gt;""),(E26+2*I26)*(F26+2*I26)*H26/1000000000*J26,0)</f>
        <v/>
      </c>
      <c r="O26" s="75">
        <f>IF(AND(E26&lt;&gt;"",F26&lt;&gt;"",G26&lt;&gt;"",J26&lt;&gt;""),E26*F26*G26/1000000000*J26,0)</f>
        <v/>
      </c>
      <c r="P26" s="75">
        <f>IF(M26&gt;0,M26-N26-O26,0)</f>
        <v/>
      </c>
      <c r="Q26" s="75">
        <f>IF(AND(K26&lt;&gt;"",L26&lt;&gt;"",E26&lt;&gt;"",F26&lt;&gt;"",J26&lt;&gt;""),VLOOKUP(K26,'1-專案資訊'!A25:I33,4,0)*((E26/1000/L26*1000*F26/1000)+(F26/1000/L26*1000*E26/1000))*1.2*J26,0)</f>
        <v/>
      </c>
      <c r="R26" s="75">
        <f>IF(AND(E26&lt;&gt;"",F26&lt;&gt;"",G26&lt;&gt;"",J26&lt;&gt;""),2*(E26+F26)*G26/1000000*J26,0)</f>
        <v/>
      </c>
      <c r="S26" s="75">
        <f>IF(OR(K26="#3 (D10)",K26="#4 (D13)",K26="#5 (D16)"),Q26,0)</f>
        <v/>
      </c>
      <c r="T26" s="75">
        <f>IF(AND(K26&lt;&gt;"",K26&lt;&gt;"#3 (D10)",K26&lt;&gt;"#4 (D13)",K26&lt;&gt;"#5 (D16)"),Q26,0)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 t="n"/>
      <c r="H27" s="70" t="n"/>
      <c r="I27" s="70" t="n"/>
      <c r="J27" s="70" t="n"/>
      <c r="K27" s="74" t="n"/>
      <c r="L27" s="70" t="n"/>
      <c r="M27" s="75">
        <f>IF(AND(E27&lt;&gt;"",F27&lt;&gt;"",G27&lt;&gt;"",H27&lt;&gt;"",I27&lt;&gt;"",J27&lt;&gt;""),(E27+2*I27)*(F27+2*I27)*(G27+H27)/1000000000*J27,0)</f>
        <v/>
      </c>
      <c r="N27" s="75">
        <f>IF(AND(E27&lt;&gt;"",F27&lt;&gt;"",H27&lt;&gt;"",I27&lt;&gt;"",J27&lt;&gt;""),(E27+2*I27)*(F27+2*I27)*H27/1000000000*J27,0)</f>
        <v/>
      </c>
      <c r="O27" s="75">
        <f>IF(AND(E27&lt;&gt;"",F27&lt;&gt;"",G27&lt;&gt;"",J27&lt;&gt;""),E27*F27*G27/1000000000*J27,0)</f>
        <v/>
      </c>
      <c r="P27" s="75">
        <f>IF(M27&gt;0,M27-N27-O27,0)</f>
        <v/>
      </c>
      <c r="Q27" s="75">
        <f>IF(AND(K27&lt;&gt;"",L27&lt;&gt;"",E27&lt;&gt;"",F27&lt;&gt;"",J27&lt;&gt;""),VLOOKUP(K27,'1-專案資訊'!A25:I33,4,0)*((E27/1000/L27*1000*F27/1000)+(F27/1000/L27*1000*E27/1000))*1.2*J27,0)</f>
        <v/>
      </c>
      <c r="R27" s="75">
        <f>IF(AND(E27&lt;&gt;"",F27&lt;&gt;"",G27&lt;&gt;"",J27&lt;&gt;""),2*(E27+F27)*G27/1000000*J27,0)</f>
        <v/>
      </c>
      <c r="S27" s="75">
        <f>IF(OR(K27="#3 (D10)",K27="#4 (D13)",K27="#5 (D16)"),Q27,0)</f>
        <v/>
      </c>
      <c r="T27" s="75">
        <f>IF(AND(K27&lt;&gt;"",K27&lt;&gt;"#3 (D10)",K27&lt;&gt;"#4 (D13)",K27&lt;&gt;"#5 (D16)"),Q27,0)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 t="n"/>
      <c r="H28" s="70" t="n"/>
      <c r="I28" s="70" t="n"/>
      <c r="J28" s="70" t="n"/>
      <c r="K28" s="74" t="n"/>
      <c r="L28" s="70" t="n"/>
      <c r="M28" s="75">
        <f>IF(AND(E28&lt;&gt;"",F28&lt;&gt;"",G28&lt;&gt;"",H28&lt;&gt;"",I28&lt;&gt;"",J28&lt;&gt;""),(E28+2*I28)*(F28+2*I28)*(G28+H28)/1000000000*J28,0)</f>
        <v/>
      </c>
      <c r="N28" s="75">
        <f>IF(AND(E28&lt;&gt;"",F28&lt;&gt;"",H28&lt;&gt;"",I28&lt;&gt;"",J28&lt;&gt;""),(E28+2*I28)*(F28+2*I28)*H28/1000000000*J28,0)</f>
        <v/>
      </c>
      <c r="O28" s="75">
        <f>IF(AND(E28&lt;&gt;"",F28&lt;&gt;"",G28&lt;&gt;"",J28&lt;&gt;""),E28*F28*G28/1000000000*J28,0)</f>
        <v/>
      </c>
      <c r="P28" s="75">
        <f>IF(M28&gt;0,M28-N28-O28,0)</f>
        <v/>
      </c>
      <c r="Q28" s="75">
        <f>IF(AND(K28&lt;&gt;"",L28&lt;&gt;"",E28&lt;&gt;"",F28&lt;&gt;"",J28&lt;&gt;""),VLOOKUP(K28,'1-專案資訊'!A25:I33,4,0)*((E28/1000/L28*1000*F28/1000)+(F28/1000/L28*1000*E28/1000))*1.2*J28,0)</f>
        <v/>
      </c>
      <c r="R28" s="75">
        <f>IF(AND(E28&lt;&gt;"",F28&lt;&gt;"",G28&lt;&gt;"",J28&lt;&gt;""),2*(E28+F28)*G28/1000000*J28,0)</f>
        <v/>
      </c>
      <c r="S28" s="75">
        <f>IF(OR(K28="#3 (D10)",K28="#4 (D13)",K28="#5 (D16)"),Q28,0)</f>
        <v/>
      </c>
      <c r="T28" s="75">
        <f>IF(AND(K28&lt;&gt;"",K28&lt;&gt;"#3 (D10)",K28&lt;&gt;"#4 (D13)",K28&lt;&gt;"#5 (D16)"),Q28,0)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 t="n"/>
      <c r="H29" s="70" t="n"/>
      <c r="I29" s="70" t="n"/>
      <c r="J29" s="70" t="n"/>
      <c r="K29" s="74" t="n"/>
      <c r="L29" s="70" t="n"/>
      <c r="M29" s="75">
        <f>IF(AND(E29&lt;&gt;"",F29&lt;&gt;"",G29&lt;&gt;"",H29&lt;&gt;"",I29&lt;&gt;"",J29&lt;&gt;""),(E29+2*I29)*(F29+2*I29)*(G29+H29)/1000000000*J29,0)</f>
        <v/>
      </c>
      <c r="N29" s="75">
        <f>IF(AND(E29&lt;&gt;"",F29&lt;&gt;"",H29&lt;&gt;"",I29&lt;&gt;"",J29&lt;&gt;""),(E29+2*I29)*(F29+2*I29)*H29/1000000000*J29,0)</f>
        <v/>
      </c>
      <c r="O29" s="75">
        <f>IF(AND(E29&lt;&gt;"",F29&lt;&gt;"",G29&lt;&gt;"",J29&lt;&gt;""),E29*F29*G29/1000000000*J29,0)</f>
        <v/>
      </c>
      <c r="P29" s="75">
        <f>IF(M29&gt;0,M29-N29-O29,0)</f>
        <v/>
      </c>
      <c r="Q29" s="75">
        <f>IF(AND(K29&lt;&gt;"",L29&lt;&gt;"",E29&lt;&gt;"",F29&lt;&gt;"",J29&lt;&gt;""),VLOOKUP(K29,'1-專案資訊'!A25:I33,4,0)*((E29/1000/L29*1000*F29/1000)+(F29/1000/L29*1000*E29/1000))*1.2*J29,0)</f>
        <v/>
      </c>
      <c r="R29" s="75">
        <f>IF(AND(E29&lt;&gt;"",F29&lt;&gt;"",G29&lt;&gt;"",J29&lt;&gt;""),2*(E29+F29)*G29/1000000*J29,0)</f>
        <v/>
      </c>
      <c r="S29" s="75">
        <f>IF(OR(K29="#3 (D10)",K29="#4 (D13)",K29="#5 (D16)"),Q29,0)</f>
        <v/>
      </c>
      <c r="T29" s="75">
        <f>IF(AND(K29&lt;&gt;"",K29&lt;&gt;"#3 (D10)",K29&lt;&gt;"#4 (D13)",K29&lt;&gt;"#5 (D16)"),Q29,0)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 t="n"/>
      <c r="H30" s="70" t="n"/>
      <c r="I30" s="70" t="n"/>
      <c r="J30" s="70" t="n"/>
      <c r="K30" s="74" t="n"/>
      <c r="L30" s="70" t="n"/>
      <c r="M30" s="75">
        <f>IF(AND(E30&lt;&gt;"",F30&lt;&gt;"",G30&lt;&gt;"",H30&lt;&gt;"",I30&lt;&gt;"",J30&lt;&gt;""),(E30+2*I30)*(F30+2*I30)*(G30+H30)/1000000000*J30,0)</f>
        <v/>
      </c>
      <c r="N30" s="75">
        <f>IF(AND(E30&lt;&gt;"",F30&lt;&gt;"",H30&lt;&gt;"",I30&lt;&gt;"",J30&lt;&gt;""),(E30+2*I30)*(F30+2*I30)*H30/1000000000*J30,0)</f>
        <v/>
      </c>
      <c r="O30" s="75">
        <f>IF(AND(E30&lt;&gt;"",F30&lt;&gt;"",G30&lt;&gt;"",J30&lt;&gt;""),E30*F30*G30/1000000000*J30,0)</f>
        <v/>
      </c>
      <c r="P30" s="75">
        <f>IF(M30&gt;0,M30-N30-O30,0)</f>
        <v/>
      </c>
      <c r="Q30" s="75">
        <f>IF(AND(K30&lt;&gt;"",L30&lt;&gt;"",E30&lt;&gt;"",F30&lt;&gt;"",J30&lt;&gt;""),VLOOKUP(K30,'1-專案資訊'!A25:I33,4,0)*((E30/1000/L30*1000*F30/1000)+(F30/1000/L30*1000*E30/1000))*1.2*J30,0)</f>
        <v/>
      </c>
      <c r="R30" s="75">
        <f>IF(AND(E30&lt;&gt;"",F30&lt;&gt;"",G30&lt;&gt;"",J30&lt;&gt;""),2*(E30+F30)*G30/1000000*J30,0)</f>
        <v/>
      </c>
      <c r="S30" s="75">
        <f>IF(OR(K30="#3 (D10)",K30="#4 (D13)",K30="#5 (D16)"),Q30,0)</f>
        <v/>
      </c>
      <c r="T30" s="75">
        <f>IF(AND(K30&lt;&gt;"",K30&lt;&gt;"#3 (D10)",K30&lt;&gt;"#4 (D13)",K30&lt;&gt;"#5 (D16)"),Q30,0)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 t="n"/>
      <c r="H31" s="70" t="n"/>
      <c r="I31" s="70" t="n"/>
      <c r="J31" s="70" t="n"/>
      <c r="K31" s="74" t="n"/>
      <c r="L31" s="70" t="n"/>
      <c r="M31" s="75">
        <f>IF(AND(E31&lt;&gt;"",F31&lt;&gt;"",G31&lt;&gt;"",H31&lt;&gt;"",I31&lt;&gt;"",J31&lt;&gt;""),(E31+2*I31)*(F31+2*I31)*(G31+H31)/1000000000*J31,0)</f>
        <v/>
      </c>
      <c r="N31" s="75">
        <f>IF(AND(E31&lt;&gt;"",F31&lt;&gt;"",H31&lt;&gt;"",I31&lt;&gt;"",J31&lt;&gt;""),(E31+2*I31)*(F31+2*I31)*H31/1000000000*J31,0)</f>
        <v/>
      </c>
      <c r="O31" s="75">
        <f>IF(AND(E31&lt;&gt;"",F31&lt;&gt;"",G31&lt;&gt;"",J31&lt;&gt;""),E31*F31*G31/1000000000*J31,0)</f>
        <v/>
      </c>
      <c r="P31" s="75">
        <f>IF(M31&gt;0,M31-N31-O31,0)</f>
        <v/>
      </c>
      <c r="Q31" s="75">
        <f>IF(AND(K31&lt;&gt;"",L31&lt;&gt;"",E31&lt;&gt;"",F31&lt;&gt;"",J31&lt;&gt;""),VLOOKUP(K31,'1-專案資訊'!A25:I33,4,0)*((E31/1000/L31*1000*F31/1000)+(F31/1000/L31*1000*E31/1000))*1.2*J31,0)</f>
        <v/>
      </c>
      <c r="R31" s="75">
        <f>IF(AND(E31&lt;&gt;"",F31&lt;&gt;"",G31&lt;&gt;"",J31&lt;&gt;""),2*(E31+F31)*G31/1000000*J31,0)</f>
        <v/>
      </c>
      <c r="S31" s="75">
        <f>IF(OR(K31="#3 (D10)",K31="#4 (D13)",K31="#5 (D16)"),Q31,0)</f>
        <v/>
      </c>
      <c r="T31" s="75">
        <f>IF(AND(K31&lt;&gt;"",K31&lt;&gt;"#3 (D10)",K31&lt;&gt;"#4 (D13)",K31&lt;&gt;"#5 (D16)"),Q31,0)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 t="n"/>
      <c r="H32" s="70" t="n"/>
      <c r="I32" s="70" t="n"/>
      <c r="J32" s="70" t="n"/>
      <c r="K32" s="74" t="n"/>
      <c r="L32" s="70" t="n"/>
      <c r="M32" s="75">
        <f>IF(AND(E32&lt;&gt;"",F32&lt;&gt;"",G32&lt;&gt;"",H32&lt;&gt;"",I32&lt;&gt;"",J32&lt;&gt;""),(E32+2*I32)*(F32+2*I32)*(G32+H32)/1000000000*J32,0)</f>
        <v/>
      </c>
      <c r="N32" s="75">
        <f>IF(AND(E32&lt;&gt;"",F32&lt;&gt;"",H32&lt;&gt;"",I32&lt;&gt;"",J32&lt;&gt;""),(E32+2*I32)*(F32+2*I32)*H32/1000000000*J32,0)</f>
        <v/>
      </c>
      <c r="O32" s="75">
        <f>IF(AND(E32&lt;&gt;"",F32&lt;&gt;"",G32&lt;&gt;"",J32&lt;&gt;""),E32*F32*G32/1000000000*J32,0)</f>
        <v/>
      </c>
      <c r="P32" s="75">
        <f>IF(M32&gt;0,M32-N32-O32,0)</f>
        <v/>
      </c>
      <c r="Q32" s="75">
        <f>IF(AND(K32&lt;&gt;"",L32&lt;&gt;"",E32&lt;&gt;"",F32&lt;&gt;"",J32&lt;&gt;""),VLOOKUP(K32,'1-專案資訊'!A25:I33,4,0)*((E32/1000/L32*1000*F32/1000)+(F32/1000/L32*1000*E32/1000))*1.2*J32,0)</f>
        <v/>
      </c>
      <c r="R32" s="75">
        <f>IF(AND(E32&lt;&gt;"",F32&lt;&gt;"",G32&lt;&gt;"",J32&lt;&gt;""),2*(E32+F32)*G32/1000000*J32,0)</f>
        <v/>
      </c>
      <c r="S32" s="75">
        <f>IF(OR(K32="#3 (D10)",K32="#4 (D13)",K32="#5 (D16)"),Q32,0)</f>
        <v/>
      </c>
      <c r="T32" s="75">
        <f>IF(AND(K32&lt;&gt;"",K32&lt;&gt;"#3 (D10)",K32&lt;&gt;"#4 (D13)",K32&lt;&gt;"#5 (D16)"),Q32,0)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 t="n"/>
      <c r="H33" s="70" t="n"/>
      <c r="I33" s="70" t="n"/>
      <c r="J33" s="70" t="n"/>
      <c r="K33" s="74" t="n"/>
      <c r="L33" s="70" t="n"/>
      <c r="M33" s="75">
        <f>IF(AND(E33&lt;&gt;"",F33&lt;&gt;"",G33&lt;&gt;"",H33&lt;&gt;"",I33&lt;&gt;"",J33&lt;&gt;""),(E33+2*I33)*(F33+2*I33)*(G33+H33)/1000000000*J33,0)</f>
        <v/>
      </c>
      <c r="N33" s="75">
        <f>IF(AND(E33&lt;&gt;"",F33&lt;&gt;"",H33&lt;&gt;"",I33&lt;&gt;"",J33&lt;&gt;""),(E33+2*I33)*(F33+2*I33)*H33/1000000000*J33,0)</f>
        <v/>
      </c>
      <c r="O33" s="75">
        <f>IF(AND(E33&lt;&gt;"",F33&lt;&gt;"",G33&lt;&gt;"",J33&lt;&gt;""),E33*F33*G33/1000000000*J33,0)</f>
        <v/>
      </c>
      <c r="P33" s="75">
        <f>IF(M33&gt;0,M33-N33-O33,0)</f>
        <v/>
      </c>
      <c r="Q33" s="75">
        <f>IF(AND(K33&lt;&gt;"",L33&lt;&gt;"",E33&lt;&gt;"",F33&lt;&gt;"",J33&lt;&gt;""),VLOOKUP(K33,'1-專案資訊'!A25:I33,4,0)*((E33/1000/L33*1000*F33/1000)+(F33/1000/L33*1000*E33/1000))*1.2*J33,0)</f>
        <v/>
      </c>
      <c r="R33" s="75">
        <f>IF(AND(E33&lt;&gt;"",F33&lt;&gt;"",G33&lt;&gt;"",J33&lt;&gt;""),2*(E33+F33)*G33/1000000*J33,0)</f>
        <v/>
      </c>
      <c r="S33" s="75">
        <f>IF(OR(K33="#3 (D10)",K33="#4 (D13)",K33="#5 (D16)"),Q33,0)</f>
        <v/>
      </c>
      <c r="T33" s="75">
        <f>IF(AND(K33&lt;&gt;"",K33&lt;&gt;"#3 (D10)",K33&lt;&gt;"#4 (D13)",K33&lt;&gt;"#5 (D16)"),Q33,0)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 t="n"/>
      <c r="H34" s="70" t="n"/>
      <c r="I34" s="70" t="n"/>
      <c r="J34" s="70" t="n"/>
      <c r="K34" s="74" t="n"/>
      <c r="L34" s="70" t="n"/>
      <c r="M34" s="75">
        <f>IF(AND(E34&lt;&gt;"",F34&lt;&gt;"",G34&lt;&gt;"",H34&lt;&gt;"",I34&lt;&gt;"",J34&lt;&gt;""),(E34+2*I34)*(F34+2*I34)*(G34+H34)/1000000000*J34,0)</f>
        <v/>
      </c>
      <c r="N34" s="75">
        <f>IF(AND(E34&lt;&gt;"",F34&lt;&gt;"",H34&lt;&gt;"",I34&lt;&gt;"",J34&lt;&gt;""),(E34+2*I34)*(F34+2*I34)*H34/1000000000*J34,0)</f>
        <v/>
      </c>
      <c r="O34" s="75">
        <f>IF(AND(E34&lt;&gt;"",F34&lt;&gt;"",G34&lt;&gt;"",J34&lt;&gt;""),E34*F34*G34/1000000000*J34,0)</f>
        <v/>
      </c>
      <c r="P34" s="75">
        <f>IF(M34&gt;0,M34-N34-O34,0)</f>
        <v/>
      </c>
      <c r="Q34" s="75">
        <f>IF(AND(K34&lt;&gt;"",L34&lt;&gt;"",E34&lt;&gt;"",F34&lt;&gt;"",J34&lt;&gt;""),VLOOKUP(K34,'1-專案資訊'!A25:I33,4,0)*((E34/1000/L34*1000*F34/1000)+(F34/1000/L34*1000*E34/1000))*1.2*J34,0)</f>
        <v/>
      </c>
      <c r="R34" s="75">
        <f>IF(AND(E34&lt;&gt;"",F34&lt;&gt;"",G34&lt;&gt;"",J34&lt;&gt;""),2*(E34+F34)*G34/1000000*J34,0)</f>
        <v/>
      </c>
      <c r="S34" s="75">
        <f>IF(OR(K34="#3 (D10)",K34="#4 (D13)",K34="#5 (D16)"),Q34,0)</f>
        <v/>
      </c>
      <c r="T34" s="75">
        <f>IF(AND(K34&lt;&gt;"",K34&lt;&gt;"#3 (D10)",K34&lt;&gt;"#4 (D13)",K34&lt;&gt;"#5 (D16)"),Q34,0)</f>
        <v/>
      </c>
    </row>
    <row r="35" ht="16.5" customHeight="1" s="48">
      <c r="B35" s="76" t="inlineStr">
        <is>
          <t>合計</t>
        </is>
      </c>
      <c r="M35" s="77">
        <f>SUM(M5:M34)</f>
        <v/>
      </c>
      <c r="N35" s="77">
        <f>SUM(N5:N34)</f>
        <v/>
      </c>
      <c r="O35" s="77">
        <f>SUM(O5:O34)</f>
        <v/>
      </c>
      <c r="P35" s="77">
        <f>SUM(P5:P34)</f>
        <v/>
      </c>
      <c r="Q35" s="77">
        <f>SUM(Q5:Q34)</f>
        <v/>
      </c>
      <c r="R35" s="77">
        <f>SUM(R5:R34)</f>
        <v/>
      </c>
      <c r="S35" s="77">
        <f>SUM(S5:S34)</f>
        <v/>
      </c>
      <c r="T35" s="77">
        <f>SUM(T5:T34)</f>
        <v/>
      </c>
    </row>
  </sheetData>
  <mergeCells count="2">
    <mergeCell ref="A2:V2"/>
    <mergeCell ref="A1:V1"/>
  </mergeCells>
  <dataValidations count="2">
    <dataValidation sqref="D5:D34" showDropDown="0" showInputMessage="0" showErrorMessage="0" allowBlank="1" type="list" errorStyle="stop" operator="between">
      <formula1>"FD-01"</formula1>
      <formula2>0</formula2>
    </dataValidation>
    <dataValidation sqref="K5:K34" showDropDown="0" showInputMessage="0" showErrorMessage="0" allowBlank="1" type="list" errorStyle="stop" operator="between">
      <formula1>"#4 (D13),#5 (D16),#6 (D19),#7 (D22),#8 (D25)"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Y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2"/>
    <col width="10" customWidth="1" style="47" min="3" max="4"/>
    <col width="8" customWidth="1" style="47" min="5" max="5"/>
    <col width="10" customWidth="1" style="47" min="6" max="10"/>
    <col width="7" customWidth="1" style="47" min="11" max="11"/>
    <col width="10" customWidth="1" style="47" min="12" max="12"/>
    <col width="11" customWidth="1" style="47" min="13" max="25"/>
  </cols>
  <sheetData>
    <row r="1" ht="17.25" customHeight="1" s="48">
      <c r="A1" s="68" t="inlineStr">
        <is>
          <t>設備基礎 數量計算表</t>
        </is>
      </c>
    </row>
    <row r="2" ht="13.5" customHeight="1" s="48">
      <c r="A2" s="50" t="inlineStr">
        <is>
          <t>小型=設備重x3 / 大型=設備重x5且50%埋土下</t>
        </is>
      </c>
    </row>
    <row r="4" ht="26.2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設備名稱</t>
        </is>
      </c>
      <c r="D4" s="59" t="inlineStr">
        <is>
          <t>▼型式</t>
        </is>
      </c>
      <c r="E4" s="59" t="inlineStr">
        <is>
          <t>▼大小型</t>
        </is>
      </c>
      <c r="F4" s="59" t="inlineStr">
        <is>
          <t>設備重 (kg)</t>
        </is>
      </c>
      <c r="G4" s="60" t="inlineStr">
        <is>
          <t>L (mm)</t>
        </is>
      </c>
      <c r="H4" s="60" t="inlineStr">
        <is>
          <t>B (mm)</t>
        </is>
      </c>
      <c r="I4" s="60" t="inlineStr">
        <is>
          <t>D (mm)</t>
        </is>
      </c>
      <c r="J4" s="59" t="inlineStr">
        <is>
          <t>工作寬 (mm)</t>
        </is>
      </c>
      <c r="K4" s="59" t="inlineStr">
        <is>
          <t>數量</t>
        </is>
      </c>
      <c r="L4" s="60" t="inlineStr">
        <is>
          <t>PC厚 (mm)</t>
        </is>
      </c>
      <c r="M4" s="59" t="inlineStr">
        <is>
          <t>開挖 (m3)</t>
        </is>
      </c>
      <c r="N4" s="60" t="inlineStr">
        <is>
          <t>PC (m3)</t>
        </is>
      </c>
      <c r="O4" s="59" t="inlineStr">
        <is>
          <t>混凝土 (m3)</t>
        </is>
      </c>
      <c r="P4" s="59" t="inlineStr">
        <is>
          <t>基礎重 (kg)</t>
        </is>
      </c>
      <c r="Q4" s="59" t="inlineStr">
        <is>
          <t>需求重 (kg)</t>
        </is>
      </c>
      <c r="R4" s="59" t="inlineStr">
        <is>
          <t>檢核</t>
        </is>
      </c>
      <c r="S4" s="59" t="inlineStr">
        <is>
          <t>鋼筋 (kg)</t>
        </is>
      </c>
      <c r="T4" s="59" t="inlineStr">
        <is>
          <t>鋼絲網 (kg)</t>
        </is>
      </c>
      <c r="U4" s="59" t="inlineStr">
        <is>
          <t>回填 (m3)</t>
        </is>
      </c>
      <c r="V4" s="59" t="inlineStr">
        <is>
          <t>模板 (m2)</t>
        </is>
      </c>
      <c r="W4" s="59" t="inlineStr">
        <is>
          <t>粉光 (m2)</t>
        </is>
      </c>
      <c r="X4" s="60" t="inlineStr">
        <is>
          <t>SD280 (kg)</t>
        </is>
      </c>
      <c r="Y4" s="60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4" t="n"/>
      <c r="F5" s="70" t="n"/>
      <c r="G5" s="70" t="n"/>
      <c r="H5" s="70" t="n"/>
      <c r="I5" s="70" t="n"/>
      <c r="J5" s="70" t="n"/>
      <c r="K5" s="70" t="n"/>
      <c r="L5" s="70" t="n"/>
      <c r="M5" s="75">
        <f>IF(AND(E5&lt;&gt;"",G5&lt;&gt;"",H5&lt;&gt;"",I5&lt;&gt;"",J5&lt;&gt;"",K5&lt;&gt;"",L5&lt;&gt;""),IF(E5="大型",(G5+2*J5)*(H5+2*J5)*(I5*0.5+L5)/1000000000*K5,(G5+2*J5)*(H5+2*J5)*(I5+L5)/1000000000*K5),0)</f>
        <v/>
      </c>
      <c r="N5" s="75">
        <f>IF(AND(G5&lt;&gt;"",H5&lt;&gt;"",J5&lt;&gt;"",K5&lt;&gt;"",L5&lt;&gt;""),(G5+2*J5)*(H5+2*J5)*L5/1000000000*K5,0)</f>
        <v/>
      </c>
      <c r="O5" s="75">
        <f>IF(AND(G5&lt;&gt;"",H5&lt;&gt;"",I5&lt;&gt;"",K5&lt;&gt;""),G5*H5*I5/1000000000*K5,0)</f>
        <v/>
      </c>
      <c r="P5" s="78">
        <f>IF(O5&gt;0,O5*2400,0)</f>
        <v/>
      </c>
      <c r="Q5" s="78">
        <f>IF(AND(E5&lt;&gt;"",F5&lt;&gt;""),IF(E5="大型",F5*5,F5*3),0)</f>
        <v/>
      </c>
      <c r="R5" s="79">
        <f>IF(AND(P5&gt;0,Q5&gt;0),IF(P5&gt;=Q5,"OK","NG"),"")</f>
        <v/>
      </c>
      <c r="S5" s="75">
        <f>IF(O5&gt;0,O5*80,0)</f>
        <v/>
      </c>
      <c r="T5" s="75">
        <f>IF(AND(G5&lt;&gt;"",H5&lt;&gt;"",I5&lt;&gt;"",K5&lt;&gt;""),1.65*(G5*H5/1000000+2*(G5+H5)*I5/1000000)*K5,0)</f>
        <v/>
      </c>
      <c r="U5" s="75">
        <f>IF(M5&gt;0,M5-N5-O5,0)</f>
        <v/>
      </c>
      <c r="V5" s="75">
        <f>IF(AND(G5&lt;&gt;"",H5&lt;&gt;"",I5&lt;&gt;"",K5&lt;&gt;""),2*(G5+H5)*I5/1000000*K5,0)</f>
        <v/>
      </c>
      <c r="W5" s="75">
        <f>IF(AND(G5&lt;&gt;"",H5&lt;&gt;"",K5&lt;&gt;""),G5*H5/1000000*K5,0)</f>
        <v/>
      </c>
      <c r="X5" s="75">
        <f>0</f>
        <v/>
      </c>
      <c r="Y5" s="75">
        <f>S5</f>
        <v/>
      </c>
    </row>
    <row r="6" ht="15" customHeight="1" s="48">
      <c r="A6" s="67" t="n">
        <v>2</v>
      </c>
      <c r="B6" s="70" t="n"/>
      <c r="C6" s="70" t="n"/>
      <c r="D6" s="74" t="n"/>
      <c r="E6" s="74" t="n"/>
      <c r="F6" s="70" t="n"/>
      <c r="G6" s="70" t="n"/>
      <c r="H6" s="70" t="n"/>
      <c r="I6" s="70" t="n"/>
      <c r="J6" s="70" t="n"/>
      <c r="K6" s="70" t="n"/>
      <c r="L6" s="70" t="n"/>
      <c r="M6" s="75">
        <f>IF(AND(E6&lt;&gt;"",G6&lt;&gt;"",H6&lt;&gt;"",I6&lt;&gt;"",J6&lt;&gt;"",K6&lt;&gt;"",L6&lt;&gt;""),IF(E6="大型",(G6+2*J6)*(H6+2*J6)*(I6*0.5+L6)/1000000000*K6,(G6+2*J6)*(H6+2*J6)*(I6+L6)/1000000000*K6),0)</f>
        <v/>
      </c>
      <c r="N6" s="75">
        <f>IF(AND(G6&lt;&gt;"",H6&lt;&gt;"",J6&lt;&gt;"",K6&lt;&gt;"",L6&lt;&gt;""),(G6+2*J6)*(H6+2*J6)*L6/1000000000*K6,0)</f>
        <v/>
      </c>
      <c r="O6" s="75">
        <f>IF(AND(G6&lt;&gt;"",H6&lt;&gt;"",I6&lt;&gt;"",K6&lt;&gt;""),G6*H6*I6/1000000000*K6,0)</f>
        <v/>
      </c>
      <c r="P6" s="78">
        <f>IF(O6&gt;0,O6*2400,0)</f>
        <v/>
      </c>
      <c r="Q6" s="78">
        <f>IF(AND(E6&lt;&gt;"",F6&lt;&gt;""),IF(E6="大型",F6*5,F6*3),0)</f>
        <v/>
      </c>
      <c r="R6" s="79">
        <f>IF(AND(P6&gt;0,Q6&gt;0),IF(P6&gt;=Q6,"OK","NG"),"")</f>
        <v/>
      </c>
      <c r="S6" s="75">
        <f>IF(O6&gt;0,O6*80,0)</f>
        <v/>
      </c>
      <c r="T6" s="75">
        <f>IF(AND(G6&lt;&gt;"",H6&lt;&gt;"",I6&lt;&gt;"",K6&lt;&gt;""),1.65*(G6*H6/1000000+2*(G6+H6)*I6/1000000)*K6,0)</f>
        <v/>
      </c>
      <c r="U6" s="75">
        <f>IF(M6&gt;0,M6-N6-O6,0)</f>
        <v/>
      </c>
      <c r="V6" s="75">
        <f>IF(AND(G6&lt;&gt;"",H6&lt;&gt;"",I6&lt;&gt;"",K6&lt;&gt;""),2*(G6+H6)*I6/1000000*K6,0)</f>
        <v/>
      </c>
      <c r="W6" s="75">
        <f>IF(AND(G6&lt;&gt;"",H6&lt;&gt;"",K6&lt;&gt;""),G6*H6/1000000*K6,0)</f>
        <v/>
      </c>
      <c r="X6" s="75">
        <f>0</f>
        <v/>
      </c>
      <c r="Y6" s="75">
        <f>S6</f>
        <v/>
      </c>
    </row>
    <row r="7" ht="15" customHeight="1" s="48">
      <c r="A7" s="67" t="n">
        <v>3</v>
      </c>
      <c r="B7" s="70" t="n"/>
      <c r="C7" s="70" t="n"/>
      <c r="D7" s="74" t="n"/>
      <c r="E7" s="74" t="n"/>
      <c r="F7" s="70" t="n"/>
      <c r="G7" s="70" t="n"/>
      <c r="H7" s="70" t="n"/>
      <c r="I7" s="70" t="n"/>
      <c r="J7" s="70" t="n"/>
      <c r="K7" s="70" t="n"/>
      <c r="L7" s="70" t="n"/>
      <c r="M7" s="75">
        <f>IF(AND(E7&lt;&gt;"",G7&lt;&gt;"",H7&lt;&gt;"",I7&lt;&gt;"",J7&lt;&gt;"",K7&lt;&gt;"",L7&lt;&gt;""),IF(E7="大型",(G7+2*J7)*(H7+2*J7)*(I7*0.5+L7)/1000000000*K7,(G7+2*J7)*(H7+2*J7)*(I7+L7)/1000000000*K7),0)</f>
        <v/>
      </c>
      <c r="N7" s="75">
        <f>IF(AND(G7&lt;&gt;"",H7&lt;&gt;"",J7&lt;&gt;"",K7&lt;&gt;"",L7&lt;&gt;""),(G7+2*J7)*(H7+2*J7)*L7/1000000000*K7,0)</f>
        <v/>
      </c>
      <c r="O7" s="75">
        <f>IF(AND(G7&lt;&gt;"",H7&lt;&gt;"",I7&lt;&gt;"",K7&lt;&gt;""),G7*H7*I7/1000000000*K7,0)</f>
        <v/>
      </c>
      <c r="P7" s="78">
        <f>IF(O7&gt;0,O7*2400,0)</f>
        <v/>
      </c>
      <c r="Q7" s="78">
        <f>IF(AND(E7&lt;&gt;"",F7&lt;&gt;""),IF(E7="大型",F7*5,F7*3),0)</f>
        <v/>
      </c>
      <c r="R7" s="79">
        <f>IF(AND(P7&gt;0,Q7&gt;0),IF(P7&gt;=Q7,"OK","NG"),"")</f>
        <v/>
      </c>
      <c r="S7" s="75">
        <f>IF(O7&gt;0,O7*80,0)</f>
        <v/>
      </c>
      <c r="T7" s="75">
        <f>IF(AND(G7&lt;&gt;"",H7&lt;&gt;"",I7&lt;&gt;"",K7&lt;&gt;""),1.65*(G7*H7/1000000+2*(G7+H7)*I7/1000000)*K7,0)</f>
        <v/>
      </c>
      <c r="U7" s="75">
        <f>IF(M7&gt;0,M7-N7-O7,0)</f>
        <v/>
      </c>
      <c r="V7" s="75">
        <f>IF(AND(G7&lt;&gt;"",H7&lt;&gt;"",I7&lt;&gt;"",K7&lt;&gt;""),2*(G7+H7)*I7/1000000*K7,0)</f>
        <v/>
      </c>
      <c r="W7" s="75">
        <f>IF(AND(G7&lt;&gt;"",H7&lt;&gt;"",K7&lt;&gt;""),G7*H7/1000000*K7,0)</f>
        <v/>
      </c>
      <c r="X7" s="75">
        <f>0</f>
        <v/>
      </c>
      <c r="Y7" s="75">
        <f>S7</f>
        <v/>
      </c>
    </row>
    <row r="8" ht="15" customHeight="1" s="48">
      <c r="A8" s="67" t="n">
        <v>4</v>
      </c>
      <c r="B8" s="70" t="n"/>
      <c r="C8" s="70" t="n"/>
      <c r="D8" s="74" t="n"/>
      <c r="E8" s="74" t="n"/>
      <c r="F8" s="70" t="n"/>
      <c r="G8" s="70" t="n"/>
      <c r="H8" s="70" t="n"/>
      <c r="I8" s="70" t="n"/>
      <c r="J8" s="70" t="n"/>
      <c r="K8" s="70" t="n"/>
      <c r="L8" s="70" t="n"/>
      <c r="M8" s="75">
        <f>IF(AND(E8&lt;&gt;"",G8&lt;&gt;"",H8&lt;&gt;"",I8&lt;&gt;"",J8&lt;&gt;"",K8&lt;&gt;"",L8&lt;&gt;""),IF(E8="大型",(G8+2*J8)*(H8+2*J8)*(I8*0.5+L8)/1000000000*K8,(G8+2*J8)*(H8+2*J8)*(I8+L8)/1000000000*K8),0)</f>
        <v/>
      </c>
      <c r="N8" s="75">
        <f>IF(AND(G8&lt;&gt;"",H8&lt;&gt;"",J8&lt;&gt;"",K8&lt;&gt;"",L8&lt;&gt;""),(G8+2*J8)*(H8+2*J8)*L8/1000000000*K8,0)</f>
        <v/>
      </c>
      <c r="O8" s="75">
        <f>IF(AND(G8&lt;&gt;"",H8&lt;&gt;"",I8&lt;&gt;"",K8&lt;&gt;""),G8*H8*I8/1000000000*K8,0)</f>
        <v/>
      </c>
      <c r="P8" s="78">
        <f>IF(O8&gt;0,O8*2400,0)</f>
        <v/>
      </c>
      <c r="Q8" s="78">
        <f>IF(AND(E8&lt;&gt;"",F8&lt;&gt;""),IF(E8="大型",F8*5,F8*3),0)</f>
        <v/>
      </c>
      <c r="R8" s="79">
        <f>IF(AND(P8&gt;0,Q8&gt;0),IF(P8&gt;=Q8,"OK","NG"),"")</f>
        <v/>
      </c>
      <c r="S8" s="75">
        <f>IF(O8&gt;0,O8*80,0)</f>
        <v/>
      </c>
      <c r="T8" s="75">
        <f>IF(AND(G8&lt;&gt;"",H8&lt;&gt;"",I8&lt;&gt;"",K8&lt;&gt;""),1.65*(G8*H8/1000000+2*(G8+H8)*I8/1000000)*K8,0)</f>
        <v/>
      </c>
      <c r="U8" s="75">
        <f>IF(M8&gt;0,M8-N8-O8,0)</f>
        <v/>
      </c>
      <c r="V8" s="75">
        <f>IF(AND(G8&lt;&gt;"",H8&lt;&gt;"",I8&lt;&gt;"",K8&lt;&gt;""),2*(G8+H8)*I8/1000000*K8,0)</f>
        <v/>
      </c>
      <c r="W8" s="75">
        <f>IF(AND(G8&lt;&gt;"",H8&lt;&gt;"",K8&lt;&gt;""),G8*H8/1000000*K8,0)</f>
        <v/>
      </c>
      <c r="X8" s="75">
        <f>0</f>
        <v/>
      </c>
      <c r="Y8" s="75">
        <f>S8</f>
        <v/>
      </c>
    </row>
    <row r="9" ht="15" customHeight="1" s="48">
      <c r="A9" s="67" t="n">
        <v>5</v>
      </c>
      <c r="B9" s="70" t="n"/>
      <c r="C9" s="70" t="n"/>
      <c r="D9" s="74" t="n"/>
      <c r="E9" s="74" t="n"/>
      <c r="F9" s="70" t="n"/>
      <c r="G9" s="70" t="n"/>
      <c r="H9" s="70" t="n"/>
      <c r="I9" s="70" t="n"/>
      <c r="J9" s="70" t="n"/>
      <c r="K9" s="70" t="n"/>
      <c r="L9" s="70" t="n"/>
      <c r="M9" s="75">
        <f>IF(AND(E9&lt;&gt;"",G9&lt;&gt;"",H9&lt;&gt;"",I9&lt;&gt;"",J9&lt;&gt;"",K9&lt;&gt;"",L9&lt;&gt;""),IF(E9="大型",(G9+2*J9)*(H9+2*J9)*(I9*0.5+L9)/1000000000*K9,(G9+2*J9)*(H9+2*J9)*(I9+L9)/1000000000*K9),0)</f>
        <v/>
      </c>
      <c r="N9" s="75">
        <f>IF(AND(G9&lt;&gt;"",H9&lt;&gt;"",J9&lt;&gt;"",K9&lt;&gt;"",L9&lt;&gt;""),(G9+2*J9)*(H9+2*J9)*L9/1000000000*K9,0)</f>
        <v/>
      </c>
      <c r="O9" s="75">
        <f>IF(AND(G9&lt;&gt;"",H9&lt;&gt;"",I9&lt;&gt;"",K9&lt;&gt;""),G9*H9*I9/1000000000*K9,0)</f>
        <v/>
      </c>
      <c r="P9" s="78">
        <f>IF(O9&gt;0,O9*2400,0)</f>
        <v/>
      </c>
      <c r="Q9" s="78">
        <f>IF(AND(E9&lt;&gt;"",F9&lt;&gt;""),IF(E9="大型",F9*5,F9*3),0)</f>
        <v/>
      </c>
      <c r="R9" s="79">
        <f>IF(AND(P9&gt;0,Q9&gt;0),IF(P9&gt;=Q9,"OK","NG"),"")</f>
        <v/>
      </c>
      <c r="S9" s="75">
        <f>IF(O9&gt;0,O9*80,0)</f>
        <v/>
      </c>
      <c r="T9" s="75">
        <f>IF(AND(G9&lt;&gt;"",H9&lt;&gt;"",I9&lt;&gt;"",K9&lt;&gt;""),1.65*(G9*H9/1000000+2*(G9+H9)*I9/1000000)*K9,0)</f>
        <v/>
      </c>
      <c r="U9" s="75">
        <f>IF(M9&gt;0,M9-N9-O9,0)</f>
        <v/>
      </c>
      <c r="V9" s="75">
        <f>IF(AND(G9&lt;&gt;"",H9&lt;&gt;"",I9&lt;&gt;"",K9&lt;&gt;""),2*(G9+H9)*I9/1000000*K9,0)</f>
        <v/>
      </c>
      <c r="W9" s="75">
        <f>IF(AND(G9&lt;&gt;"",H9&lt;&gt;"",K9&lt;&gt;""),G9*H9/1000000*K9,0)</f>
        <v/>
      </c>
      <c r="X9" s="75">
        <f>0</f>
        <v/>
      </c>
      <c r="Y9" s="75">
        <f>S9</f>
        <v/>
      </c>
    </row>
    <row r="10" ht="15" customHeight="1" s="48">
      <c r="A10" s="67" t="n">
        <v>6</v>
      </c>
      <c r="B10" s="70" t="n"/>
      <c r="C10" s="70" t="n"/>
      <c r="D10" s="74" t="n"/>
      <c r="E10" s="74" t="n"/>
      <c r="F10" s="70" t="n"/>
      <c r="G10" s="70" t="n"/>
      <c r="H10" s="70" t="n"/>
      <c r="I10" s="70" t="n"/>
      <c r="J10" s="70" t="n"/>
      <c r="K10" s="70" t="n"/>
      <c r="L10" s="70" t="n"/>
      <c r="M10" s="75">
        <f>IF(AND(E10&lt;&gt;"",G10&lt;&gt;"",H10&lt;&gt;"",I10&lt;&gt;"",J10&lt;&gt;"",K10&lt;&gt;"",L10&lt;&gt;""),IF(E10="大型",(G10+2*J10)*(H10+2*J10)*(I10*0.5+L10)/1000000000*K10,(G10+2*J10)*(H10+2*J10)*(I10+L10)/1000000000*K10),0)</f>
        <v/>
      </c>
      <c r="N10" s="75">
        <f>IF(AND(G10&lt;&gt;"",H10&lt;&gt;"",J10&lt;&gt;"",K10&lt;&gt;"",L10&lt;&gt;""),(G10+2*J10)*(H10+2*J10)*L10/1000000000*K10,0)</f>
        <v/>
      </c>
      <c r="O10" s="75">
        <f>IF(AND(G10&lt;&gt;"",H10&lt;&gt;"",I10&lt;&gt;"",K10&lt;&gt;""),G10*H10*I10/1000000000*K10,0)</f>
        <v/>
      </c>
      <c r="P10" s="78">
        <f>IF(O10&gt;0,O10*2400,0)</f>
        <v/>
      </c>
      <c r="Q10" s="78">
        <f>IF(AND(E10&lt;&gt;"",F10&lt;&gt;""),IF(E10="大型",F10*5,F10*3),0)</f>
        <v/>
      </c>
      <c r="R10" s="79">
        <f>IF(AND(P10&gt;0,Q10&gt;0),IF(P10&gt;=Q10,"OK","NG"),"")</f>
        <v/>
      </c>
      <c r="S10" s="75">
        <f>IF(O10&gt;0,O10*80,0)</f>
        <v/>
      </c>
      <c r="T10" s="75">
        <f>IF(AND(G10&lt;&gt;"",H10&lt;&gt;"",I10&lt;&gt;"",K10&lt;&gt;""),1.65*(G10*H10/1000000+2*(G10+H10)*I10/1000000)*K10,0)</f>
        <v/>
      </c>
      <c r="U10" s="75">
        <f>IF(M10&gt;0,M10-N10-O10,0)</f>
        <v/>
      </c>
      <c r="V10" s="75">
        <f>IF(AND(G10&lt;&gt;"",H10&lt;&gt;"",I10&lt;&gt;"",K10&lt;&gt;""),2*(G10+H10)*I10/1000000*K10,0)</f>
        <v/>
      </c>
      <c r="W10" s="75">
        <f>IF(AND(G10&lt;&gt;"",H10&lt;&gt;"",K10&lt;&gt;""),G10*H10/1000000*K10,0)</f>
        <v/>
      </c>
      <c r="X10" s="75">
        <f>0</f>
        <v/>
      </c>
      <c r="Y10" s="75">
        <f>S10</f>
        <v/>
      </c>
    </row>
    <row r="11" ht="15" customHeight="1" s="48">
      <c r="A11" s="67" t="n">
        <v>7</v>
      </c>
      <c r="B11" s="70" t="n"/>
      <c r="C11" s="70" t="n"/>
      <c r="D11" s="74" t="n"/>
      <c r="E11" s="74" t="n"/>
      <c r="F11" s="70" t="n"/>
      <c r="G11" s="70" t="n"/>
      <c r="H11" s="70" t="n"/>
      <c r="I11" s="70" t="n"/>
      <c r="J11" s="70" t="n"/>
      <c r="K11" s="70" t="n"/>
      <c r="L11" s="70" t="n"/>
      <c r="M11" s="75">
        <f>IF(AND(E11&lt;&gt;"",G11&lt;&gt;"",H11&lt;&gt;"",I11&lt;&gt;"",J11&lt;&gt;"",K11&lt;&gt;"",L11&lt;&gt;""),IF(E11="大型",(G11+2*J11)*(H11+2*J11)*(I11*0.5+L11)/1000000000*K11,(G11+2*J11)*(H11+2*J11)*(I11+L11)/1000000000*K11),0)</f>
        <v/>
      </c>
      <c r="N11" s="75">
        <f>IF(AND(G11&lt;&gt;"",H11&lt;&gt;"",J11&lt;&gt;"",K11&lt;&gt;"",L11&lt;&gt;""),(G11+2*J11)*(H11+2*J11)*L11/1000000000*K11,0)</f>
        <v/>
      </c>
      <c r="O11" s="75">
        <f>IF(AND(G11&lt;&gt;"",H11&lt;&gt;"",I11&lt;&gt;"",K11&lt;&gt;""),G11*H11*I11/1000000000*K11,0)</f>
        <v/>
      </c>
      <c r="P11" s="78">
        <f>IF(O11&gt;0,O11*2400,0)</f>
        <v/>
      </c>
      <c r="Q11" s="78">
        <f>IF(AND(E11&lt;&gt;"",F11&lt;&gt;""),IF(E11="大型",F11*5,F11*3),0)</f>
        <v/>
      </c>
      <c r="R11" s="79">
        <f>IF(AND(P11&gt;0,Q11&gt;0),IF(P11&gt;=Q11,"OK","NG"),"")</f>
        <v/>
      </c>
      <c r="S11" s="75">
        <f>IF(O11&gt;0,O11*80,0)</f>
        <v/>
      </c>
      <c r="T11" s="75">
        <f>IF(AND(G11&lt;&gt;"",H11&lt;&gt;"",I11&lt;&gt;"",K11&lt;&gt;""),1.65*(G11*H11/1000000+2*(G11+H11)*I11/1000000)*K11,0)</f>
        <v/>
      </c>
      <c r="U11" s="75">
        <f>IF(M11&gt;0,M11-N11-O11,0)</f>
        <v/>
      </c>
      <c r="V11" s="75">
        <f>IF(AND(G11&lt;&gt;"",H11&lt;&gt;"",I11&lt;&gt;"",K11&lt;&gt;""),2*(G11+H11)*I11/1000000*K11,0)</f>
        <v/>
      </c>
      <c r="W11" s="75">
        <f>IF(AND(G11&lt;&gt;"",H11&lt;&gt;"",K11&lt;&gt;""),G11*H11/1000000*K11,0)</f>
        <v/>
      </c>
      <c r="X11" s="75">
        <f>0</f>
        <v/>
      </c>
      <c r="Y11" s="75">
        <f>S11</f>
        <v/>
      </c>
    </row>
    <row r="12" ht="15" customHeight="1" s="48">
      <c r="A12" s="67" t="n">
        <v>8</v>
      </c>
      <c r="B12" s="70" t="n"/>
      <c r="C12" s="70" t="n"/>
      <c r="D12" s="74" t="n"/>
      <c r="E12" s="74" t="n"/>
      <c r="F12" s="70" t="n"/>
      <c r="G12" s="70" t="n"/>
      <c r="H12" s="70" t="n"/>
      <c r="I12" s="70" t="n"/>
      <c r="J12" s="70" t="n"/>
      <c r="K12" s="70" t="n"/>
      <c r="L12" s="70" t="n"/>
      <c r="M12" s="75">
        <f>IF(AND(E12&lt;&gt;"",G12&lt;&gt;"",H12&lt;&gt;"",I12&lt;&gt;"",J12&lt;&gt;"",K12&lt;&gt;"",L12&lt;&gt;""),IF(E12="大型",(G12+2*J12)*(H12+2*J12)*(I12*0.5+L12)/1000000000*K12,(G12+2*J12)*(H12+2*J12)*(I12+L12)/1000000000*K12),0)</f>
        <v/>
      </c>
      <c r="N12" s="75">
        <f>IF(AND(G12&lt;&gt;"",H12&lt;&gt;"",J12&lt;&gt;"",K12&lt;&gt;"",L12&lt;&gt;""),(G12+2*J12)*(H12+2*J12)*L12/1000000000*K12,0)</f>
        <v/>
      </c>
      <c r="O12" s="75">
        <f>IF(AND(G12&lt;&gt;"",H12&lt;&gt;"",I12&lt;&gt;"",K12&lt;&gt;""),G12*H12*I12/1000000000*K12,0)</f>
        <v/>
      </c>
      <c r="P12" s="78">
        <f>IF(O12&gt;0,O12*2400,0)</f>
        <v/>
      </c>
      <c r="Q12" s="78">
        <f>IF(AND(E12&lt;&gt;"",F12&lt;&gt;""),IF(E12="大型",F12*5,F12*3),0)</f>
        <v/>
      </c>
      <c r="R12" s="79">
        <f>IF(AND(P12&gt;0,Q12&gt;0),IF(P12&gt;=Q12,"OK","NG"),"")</f>
        <v/>
      </c>
      <c r="S12" s="75">
        <f>IF(O12&gt;0,O12*80,0)</f>
        <v/>
      </c>
      <c r="T12" s="75">
        <f>IF(AND(G12&lt;&gt;"",H12&lt;&gt;"",I12&lt;&gt;"",K12&lt;&gt;""),1.65*(G12*H12/1000000+2*(G12+H12)*I12/1000000)*K12,0)</f>
        <v/>
      </c>
      <c r="U12" s="75">
        <f>IF(M12&gt;0,M12-N12-O12,0)</f>
        <v/>
      </c>
      <c r="V12" s="75">
        <f>IF(AND(G12&lt;&gt;"",H12&lt;&gt;"",I12&lt;&gt;"",K12&lt;&gt;""),2*(G12+H12)*I12/1000000*K12,0)</f>
        <v/>
      </c>
      <c r="W12" s="75">
        <f>IF(AND(G12&lt;&gt;"",H12&lt;&gt;"",K12&lt;&gt;""),G12*H12/1000000*K12,0)</f>
        <v/>
      </c>
      <c r="X12" s="75">
        <f>0</f>
        <v/>
      </c>
      <c r="Y12" s="75">
        <f>S12</f>
        <v/>
      </c>
    </row>
    <row r="13" ht="15" customHeight="1" s="48">
      <c r="A13" s="67" t="n">
        <v>9</v>
      </c>
      <c r="B13" s="70" t="n"/>
      <c r="C13" s="70" t="n"/>
      <c r="D13" s="74" t="n"/>
      <c r="E13" s="74" t="n"/>
      <c r="F13" s="70" t="n"/>
      <c r="G13" s="70" t="n"/>
      <c r="H13" s="70" t="n"/>
      <c r="I13" s="70" t="n"/>
      <c r="J13" s="70" t="n"/>
      <c r="K13" s="70" t="n"/>
      <c r="L13" s="70" t="n"/>
      <c r="M13" s="75">
        <f>IF(AND(E13&lt;&gt;"",G13&lt;&gt;"",H13&lt;&gt;"",I13&lt;&gt;"",J13&lt;&gt;"",K13&lt;&gt;"",L13&lt;&gt;""),IF(E13="大型",(G13+2*J13)*(H13+2*J13)*(I13*0.5+L13)/1000000000*K13,(G13+2*J13)*(H13+2*J13)*(I13+L13)/1000000000*K13),0)</f>
        <v/>
      </c>
      <c r="N13" s="75">
        <f>IF(AND(G13&lt;&gt;"",H13&lt;&gt;"",J13&lt;&gt;"",K13&lt;&gt;"",L13&lt;&gt;""),(G13+2*J13)*(H13+2*J13)*L13/1000000000*K13,0)</f>
        <v/>
      </c>
      <c r="O13" s="75">
        <f>IF(AND(G13&lt;&gt;"",H13&lt;&gt;"",I13&lt;&gt;"",K13&lt;&gt;""),G13*H13*I13/1000000000*K13,0)</f>
        <v/>
      </c>
      <c r="P13" s="78">
        <f>IF(O13&gt;0,O13*2400,0)</f>
        <v/>
      </c>
      <c r="Q13" s="78">
        <f>IF(AND(E13&lt;&gt;"",F13&lt;&gt;""),IF(E13="大型",F13*5,F13*3),0)</f>
        <v/>
      </c>
      <c r="R13" s="79">
        <f>IF(AND(P13&gt;0,Q13&gt;0),IF(P13&gt;=Q13,"OK","NG"),"")</f>
        <v/>
      </c>
      <c r="S13" s="75">
        <f>IF(O13&gt;0,O13*80,0)</f>
        <v/>
      </c>
      <c r="T13" s="75">
        <f>IF(AND(G13&lt;&gt;"",H13&lt;&gt;"",I13&lt;&gt;"",K13&lt;&gt;""),1.65*(G13*H13/1000000+2*(G13+H13)*I13/1000000)*K13,0)</f>
        <v/>
      </c>
      <c r="U13" s="75">
        <f>IF(M13&gt;0,M13-N13-O13,0)</f>
        <v/>
      </c>
      <c r="V13" s="75">
        <f>IF(AND(G13&lt;&gt;"",H13&lt;&gt;"",I13&lt;&gt;"",K13&lt;&gt;""),2*(G13+H13)*I13/1000000*K13,0)</f>
        <v/>
      </c>
      <c r="W13" s="75">
        <f>IF(AND(G13&lt;&gt;"",H13&lt;&gt;"",K13&lt;&gt;""),G13*H13/1000000*K13,0)</f>
        <v/>
      </c>
      <c r="X13" s="75">
        <f>0</f>
        <v/>
      </c>
      <c r="Y13" s="75">
        <f>S13</f>
        <v/>
      </c>
    </row>
    <row r="14" ht="15" customHeight="1" s="48">
      <c r="A14" s="67" t="n">
        <v>10</v>
      </c>
      <c r="B14" s="70" t="n"/>
      <c r="C14" s="70" t="n"/>
      <c r="D14" s="74" t="n"/>
      <c r="E14" s="74" t="n"/>
      <c r="F14" s="70" t="n"/>
      <c r="G14" s="70" t="n"/>
      <c r="H14" s="70" t="n"/>
      <c r="I14" s="70" t="n"/>
      <c r="J14" s="70" t="n"/>
      <c r="K14" s="70" t="n"/>
      <c r="L14" s="70" t="n"/>
      <c r="M14" s="75">
        <f>IF(AND(E14&lt;&gt;"",G14&lt;&gt;"",H14&lt;&gt;"",I14&lt;&gt;"",J14&lt;&gt;"",K14&lt;&gt;"",L14&lt;&gt;""),IF(E14="大型",(G14+2*J14)*(H14+2*J14)*(I14*0.5+L14)/1000000000*K14,(G14+2*J14)*(H14+2*J14)*(I14+L14)/1000000000*K14),0)</f>
        <v/>
      </c>
      <c r="N14" s="75">
        <f>IF(AND(G14&lt;&gt;"",H14&lt;&gt;"",J14&lt;&gt;"",K14&lt;&gt;"",L14&lt;&gt;""),(G14+2*J14)*(H14+2*J14)*L14/1000000000*K14,0)</f>
        <v/>
      </c>
      <c r="O14" s="75">
        <f>IF(AND(G14&lt;&gt;"",H14&lt;&gt;"",I14&lt;&gt;"",K14&lt;&gt;""),G14*H14*I14/1000000000*K14,0)</f>
        <v/>
      </c>
      <c r="P14" s="78">
        <f>IF(O14&gt;0,O14*2400,0)</f>
        <v/>
      </c>
      <c r="Q14" s="78">
        <f>IF(AND(E14&lt;&gt;"",F14&lt;&gt;""),IF(E14="大型",F14*5,F14*3),0)</f>
        <v/>
      </c>
      <c r="R14" s="79">
        <f>IF(AND(P14&gt;0,Q14&gt;0),IF(P14&gt;=Q14,"OK","NG"),"")</f>
        <v/>
      </c>
      <c r="S14" s="75">
        <f>IF(O14&gt;0,O14*80,0)</f>
        <v/>
      </c>
      <c r="T14" s="75">
        <f>IF(AND(G14&lt;&gt;"",H14&lt;&gt;"",I14&lt;&gt;"",K14&lt;&gt;""),1.65*(G14*H14/1000000+2*(G14+H14)*I14/1000000)*K14,0)</f>
        <v/>
      </c>
      <c r="U14" s="75">
        <f>IF(M14&gt;0,M14-N14-O14,0)</f>
        <v/>
      </c>
      <c r="V14" s="75">
        <f>IF(AND(G14&lt;&gt;"",H14&lt;&gt;"",I14&lt;&gt;"",K14&lt;&gt;""),2*(G14+H14)*I14/1000000*K14,0)</f>
        <v/>
      </c>
      <c r="W14" s="75">
        <f>IF(AND(G14&lt;&gt;"",H14&lt;&gt;"",K14&lt;&gt;""),G14*H14/1000000*K14,0)</f>
        <v/>
      </c>
      <c r="X14" s="75">
        <f>0</f>
        <v/>
      </c>
      <c r="Y14" s="75">
        <f>S14</f>
        <v/>
      </c>
    </row>
    <row r="15" ht="15" customHeight="1" s="48">
      <c r="A15" s="67" t="n">
        <v>11</v>
      </c>
      <c r="B15" s="70" t="n"/>
      <c r="C15" s="70" t="n"/>
      <c r="D15" s="74" t="n"/>
      <c r="E15" s="74" t="n"/>
      <c r="F15" s="70" t="n"/>
      <c r="G15" s="70" t="n"/>
      <c r="H15" s="70" t="n"/>
      <c r="I15" s="70" t="n"/>
      <c r="J15" s="70" t="n"/>
      <c r="K15" s="70" t="n"/>
      <c r="L15" s="70" t="n"/>
      <c r="M15" s="75">
        <f>IF(AND(E15&lt;&gt;"",G15&lt;&gt;"",H15&lt;&gt;"",I15&lt;&gt;"",J15&lt;&gt;"",K15&lt;&gt;"",L15&lt;&gt;""),IF(E15="大型",(G15+2*J15)*(H15+2*J15)*(I15*0.5+L15)/1000000000*K15,(G15+2*J15)*(H15+2*J15)*(I15+L15)/1000000000*K15),0)</f>
        <v/>
      </c>
      <c r="N15" s="75">
        <f>IF(AND(G15&lt;&gt;"",H15&lt;&gt;"",J15&lt;&gt;"",K15&lt;&gt;"",L15&lt;&gt;""),(G15+2*J15)*(H15+2*J15)*L15/1000000000*K15,0)</f>
        <v/>
      </c>
      <c r="O15" s="75">
        <f>IF(AND(G15&lt;&gt;"",H15&lt;&gt;"",I15&lt;&gt;"",K15&lt;&gt;""),G15*H15*I15/1000000000*K15,0)</f>
        <v/>
      </c>
      <c r="P15" s="78">
        <f>IF(O15&gt;0,O15*2400,0)</f>
        <v/>
      </c>
      <c r="Q15" s="78">
        <f>IF(AND(E15&lt;&gt;"",F15&lt;&gt;""),IF(E15="大型",F15*5,F15*3),0)</f>
        <v/>
      </c>
      <c r="R15" s="79">
        <f>IF(AND(P15&gt;0,Q15&gt;0),IF(P15&gt;=Q15,"OK","NG"),"")</f>
        <v/>
      </c>
      <c r="S15" s="75">
        <f>IF(O15&gt;0,O15*80,0)</f>
        <v/>
      </c>
      <c r="T15" s="75">
        <f>IF(AND(G15&lt;&gt;"",H15&lt;&gt;"",I15&lt;&gt;"",K15&lt;&gt;""),1.65*(G15*H15/1000000+2*(G15+H15)*I15/1000000)*K15,0)</f>
        <v/>
      </c>
      <c r="U15" s="75">
        <f>IF(M15&gt;0,M15-N15-O15,0)</f>
        <v/>
      </c>
      <c r="V15" s="75">
        <f>IF(AND(G15&lt;&gt;"",H15&lt;&gt;"",I15&lt;&gt;"",K15&lt;&gt;""),2*(G15+H15)*I15/1000000*K15,0)</f>
        <v/>
      </c>
      <c r="W15" s="75">
        <f>IF(AND(G15&lt;&gt;"",H15&lt;&gt;"",K15&lt;&gt;""),G15*H15/1000000*K15,0)</f>
        <v/>
      </c>
      <c r="X15" s="75">
        <f>0</f>
        <v/>
      </c>
      <c r="Y15" s="75">
        <f>S15</f>
        <v/>
      </c>
    </row>
    <row r="16" ht="15" customHeight="1" s="48">
      <c r="A16" s="67" t="n">
        <v>12</v>
      </c>
      <c r="B16" s="70" t="n"/>
      <c r="C16" s="70" t="n"/>
      <c r="D16" s="74" t="n"/>
      <c r="E16" s="74" t="n"/>
      <c r="F16" s="70" t="n"/>
      <c r="G16" s="70" t="n"/>
      <c r="H16" s="70" t="n"/>
      <c r="I16" s="70" t="n"/>
      <c r="J16" s="70" t="n"/>
      <c r="K16" s="70" t="n"/>
      <c r="L16" s="70" t="n"/>
      <c r="M16" s="75">
        <f>IF(AND(E16&lt;&gt;"",G16&lt;&gt;"",H16&lt;&gt;"",I16&lt;&gt;"",J16&lt;&gt;"",K16&lt;&gt;"",L16&lt;&gt;""),IF(E16="大型",(G16+2*J16)*(H16+2*J16)*(I16*0.5+L16)/1000000000*K16,(G16+2*J16)*(H16+2*J16)*(I16+L16)/1000000000*K16),0)</f>
        <v/>
      </c>
      <c r="N16" s="75">
        <f>IF(AND(G16&lt;&gt;"",H16&lt;&gt;"",J16&lt;&gt;"",K16&lt;&gt;"",L16&lt;&gt;""),(G16+2*J16)*(H16+2*J16)*L16/1000000000*K16,0)</f>
        <v/>
      </c>
      <c r="O16" s="75">
        <f>IF(AND(G16&lt;&gt;"",H16&lt;&gt;"",I16&lt;&gt;"",K16&lt;&gt;""),G16*H16*I16/1000000000*K16,0)</f>
        <v/>
      </c>
      <c r="P16" s="78">
        <f>IF(O16&gt;0,O16*2400,0)</f>
        <v/>
      </c>
      <c r="Q16" s="78">
        <f>IF(AND(E16&lt;&gt;"",F16&lt;&gt;""),IF(E16="大型",F16*5,F16*3),0)</f>
        <v/>
      </c>
      <c r="R16" s="79">
        <f>IF(AND(P16&gt;0,Q16&gt;0),IF(P16&gt;=Q16,"OK","NG"),"")</f>
        <v/>
      </c>
      <c r="S16" s="75">
        <f>IF(O16&gt;0,O16*80,0)</f>
        <v/>
      </c>
      <c r="T16" s="75">
        <f>IF(AND(G16&lt;&gt;"",H16&lt;&gt;"",I16&lt;&gt;"",K16&lt;&gt;""),1.65*(G16*H16/1000000+2*(G16+H16)*I16/1000000)*K16,0)</f>
        <v/>
      </c>
      <c r="U16" s="75">
        <f>IF(M16&gt;0,M16-N16-O16,0)</f>
        <v/>
      </c>
      <c r="V16" s="75">
        <f>IF(AND(G16&lt;&gt;"",H16&lt;&gt;"",I16&lt;&gt;"",K16&lt;&gt;""),2*(G16+H16)*I16/1000000*K16,0)</f>
        <v/>
      </c>
      <c r="W16" s="75">
        <f>IF(AND(G16&lt;&gt;"",H16&lt;&gt;"",K16&lt;&gt;""),G16*H16/1000000*K16,0)</f>
        <v/>
      </c>
      <c r="X16" s="75">
        <f>0</f>
        <v/>
      </c>
      <c r="Y16" s="75">
        <f>S16</f>
        <v/>
      </c>
    </row>
    <row r="17" ht="15" customHeight="1" s="48">
      <c r="A17" s="67" t="n">
        <v>13</v>
      </c>
      <c r="B17" s="70" t="n"/>
      <c r="C17" s="70" t="n"/>
      <c r="D17" s="74" t="n"/>
      <c r="E17" s="74" t="n"/>
      <c r="F17" s="70" t="n"/>
      <c r="G17" s="70" t="n"/>
      <c r="H17" s="70" t="n"/>
      <c r="I17" s="70" t="n"/>
      <c r="J17" s="70" t="n"/>
      <c r="K17" s="70" t="n"/>
      <c r="L17" s="70" t="n"/>
      <c r="M17" s="75">
        <f>IF(AND(E17&lt;&gt;"",G17&lt;&gt;"",H17&lt;&gt;"",I17&lt;&gt;"",J17&lt;&gt;"",K17&lt;&gt;"",L17&lt;&gt;""),IF(E17="大型",(G17+2*J17)*(H17+2*J17)*(I17*0.5+L17)/1000000000*K17,(G17+2*J17)*(H17+2*J17)*(I17+L17)/1000000000*K17),0)</f>
        <v/>
      </c>
      <c r="N17" s="75">
        <f>IF(AND(G17&lt;&gt;"",H17&lt;&gt;"",J17&lt;&gt;"",K17&lt;&gt;"",L17&lt;&gt;""),(G17+2*J17)*(H17+2*J17)*L17/1000000000*K17,0)</f>
        <v/>
      </c>
      <c r="O17" s="75">
        <f>IF(AND(G17&lt;&gt;"",H17&lt;&gt;"",I17&lt;&gt;"",K17&lt;&gt;""),G17*H17*I17/1000000000*K17,0)</f>
        <v/>
      </c>
      <c r="P17" s="78">
        <f>IF(O17&gt;0,O17*2400,0)</f>
        <v/>
      </c>
      <c r="Q17" s="78">
        <f>IF(AND(E17&lt;&gt;"",F17&lt;&gt;""),IF(E17="大型",F17*5,F17*3),0)</f>
        <v/>
      </c>
      <c r="R17" s="79">
        <f>IF(AND(P17&gt;0,Q17&gt;0),IF(P17&gt;=Q17,"OK","NG"),"")</f>
        <v/>
      </c>
      <c r="S17" s="75">
        <f>IF(O17&gt;0,O17*80,0)</f>
        <v/>
      </c>
      <c r="T17" s="75">
        <f>IF(AND(G17&lt;&gt;"",H17&lt;&gt;"",I17&lt;&gt;"",K17&lt;&gt;""),1.65*(G17*H17/1000000+2*(G17+H17)*I17/1000000)*K17,0)</f>
        <v/>
      </c>
      <c r="U17" s="75">
        <f>IF(M17&gt;0,M17-N17-O17,0)</f>
        <v/>
      </c>
      <c r="V17" s="75">
        <f>IF(AND(G17&lt;&gt;"",H17&lt;&gt;"",I17&lt;&gt;"",K17&lt;&gt;""),2*(G17+H17)*I17/1000000*K17,0)</f>
        <v/>
      </c>
      <c r="W17" s="75">
        <f>IF(AND(G17&lt;&gt;"",H17&lt;&gt;"",K17&lt;&gt;""),G17*H17/1000000*K17,0)</f>
        <v/>
      </c>
      <c r="X17" s="75">
        <f>0</f>
        <v/>
      </c>
      <c r="Y17" s="75">
        <f>S17</f>
        <v/>
      </c>
    </row>
    <row r="18" ht="15" customHeight="1" s="48">
      <c r="A18" s="67" t="n">
        <v>14</v>
      </c>
      <c r="B18" s="70" t="n"/>
      <c r="C18" s="70" t="n"/>
      <c r="D18" s="74" t="n"/>
      <c r="E18" s="74" t="n"/>
      <c r="F18" s="70" t="n"/>
      <c r="G18" s="70" t="n"/>
      <c r="H18" s="70" t="n"/>
      <c r="I18" s="70" t="n"/>
      <c r="J18" s="70" t="n"/>
      <c r="K18" s="70" t="n"/>
      <c r="L18" s="70" t="n"/>
      <c r="M18" s="75">
        <f>IF(AND(E18&lt;&gt;"",G18&lt;&gt;"",H18&lt;&gt;"",I18&lt;&gt;"",J18&lt;&gt;"",K18&lt;&gt;"",L18&lt;&gt;""),IF(E18="大型",(G18+2*J18)*(H18+2*J18)*(I18*0.5+L18)/1000000000*K18,(G18+2*J18)*(H18+2*J18)*(I18+L18)/1000000000*K18),0)</f>
        <v/>
      </c>
      <c r="N18" s="75">
        <f>IF(AND(G18&lt;&gt;"",H18&lt;&gt;"",J18&lt;&gt;"",K18&lt;&gt;"",L18&lt;&gt;""),(G18+2*J18)*(H18+2*J18)*L18/1000000000*K18,0)</f>
        <v/>
      </c>
      <c r="O18" s="75">
        <f>IF(AND(G18&lt;&gt;"",H18&lt;&gt;"",I18&lt;&gt;"",K18&lt;&gt;""),G18*H18*I18/1000000000*K18,0)</f>
        <v/>
      </c>
      <c r="P18" s="78">
        <f>IF(O18&gt;0,O18*2400,0)</f>
        <v/>
      </c>
      <c r="Q18" s="78">
        <f>IF(AND(E18&lt;&gt;"",F18&lt;&gt;""),IF(E18="大型",F18*5,F18*3),0)</f>
        <v/>
      </c>
      <c r="R18" s="79">
        <f>IF(AND(P18&gt;0,Q18&gt;0),IF(P18&gt;=Q18,"OK","NG"),"")</f>
        <v/>
      </c>
      <c r="S18" s="75">
        <f>IF(O18&gt;0,O18*80,0)</f>
        <v/>
      </c>
      <c r="T18" s="75">
        <f>IF(AND(G18&lt;&gt;"",H18&lt;&gt;"",I18&lt;&gt;"",K18&lt;&gt;""),1.65*(G18*H18/1000000+2*(G18+H18)*I18/1000000)*K18,0)</f>
        <v/>
      </c>
      <c r="U18" s="75">
        <f>IF(M18&gt;0,M18-N18-O18,0)</f>
        <v/>
      </c>
      <c r="V18" s="75">
        <f>IF(AND(G18&lt;&gt;"",H18&lt;&gt;"",I18&lt;&gt;"",K18&lt;&gt;""),2*(G18+H18)*I18/1000000*K18,0)</f>
        <v/>
      </c>
      <c r="W18" s="75">
        <f>IF(AND(G18&lt;&gt;"",H18&lt;&gt;"",K18&lt;&gt;""),G18*H18/1000000*K18,0)</f>
        <v/>
      </c>
      <c r="X18" s="75">
        <f>0</f>
        <v/>
      </c>
      <c r="Y18" s="75">
        <f>S18</f>
        <v/>
      </c>
    </row>
    <row r="19" ht="15" customHeight="1" s="48">
      <c r="A19" s="67" t="n">
        <v>15</v>
      </c>
      <c r="B19" s="70" t="n"/>
      <c r="C19" s="70" t="n"/>
      <c r="D19" s="74" t="n"/>
      <c r="E19" s="74" t="n"/>
      <c r="F19" s="70" t="n"/>
      <c r="G19" s="70" t="n"/>
      <c r="H19" s="70" t="n"/>
      <c r="I19" s="70" t="n"/>
      <c r="J19" s="70" t="n"/>
      <c r="K19" s="70" t="n"/>
      <c r="L19" s="70" t="n"/>
      <c r="M19" s="75">
        <f>IF(AND(E19&lt;&gt;"",G19&lt;&gt;"",H19&lt;&gt;"",I19&lt;&gt;"",J19&lt;&gt;"",K19&lt;&gt;"",L19&lt;&gt;""),IF(E19="大型",(G19+2*J19)*(H19+2*J19)*(I19*0.5+L19)/1000000000*K19,(G19+2*J19)*(H19+2*J19)*(I19+L19)/1000000000*K19),0)</f>
        <v/>
      </c>
      <c r="N19" s="75">
        <f>IF(AND(G19&lt;&gt;"",H19&lt;&gt;"",J19&lt;&gt;"",K19&lt;&gt;"",L19&lt;&gt;""),(G19+2*J19)*(H19+2*J19)*L19/1000000000*K19,0)</f>
        <v/>
      </c>
      <c r="O19" s="75">
        <f>IF(AND(G19&lt;&gt;"",H19&lt;&gt;"",I19&lt;&gt;"",K19&lt;&gt;""),G19*H19*I19/1000000000*K19,0)</f>
        <v/>
      </c>
      <c r="P19" s="78">
        <f>IF(O19&gt;0,O19*2400,0)</f>
        <v/>
      </c>
      <c r="Q19" s="78">
        <f>IF(AND(E19&lt;&gt;"",F19&lt;&gt;""),IF(E19="大型",F19*5,F19*3),0)</f>
        <v/>
      </c>
      <c r="R19" s="79">
        <f>IF(AND(P19&gt;0,Q19&gt;0),IF(P19&gt;=Q19,"OK","NG"),"")</f>
        <v/>
      </c>
      <c r="S19" s="75">
        <f>IF(O19&gt;0,O19*80,0)</f>
        <v/>
      </c>
      <c r="T19" s="75">
        <f>IF(AND(G19&lt;&gt;"",H19&lt;&gt;"",I19&lt;&gt;"",K19&lt;&gt;""),1.65*(G19*H19/1000000+2*(G19+H19)*I19/1000000)*K19,0)</f>
        <v/>
      </c>
      <c r="U19" s="75">
        <f>IF(M19&gt;0,M19-N19-O19,0)</f>
        <v/>
      </c>
      <c r="V19" s="75">
        <f>IF(AND(G19&lt;&gt;"",H19&lt;&gt;"",I19&lt;&gt;"",K19&lt;&gt;""),2*(G19+H19)*I19/1000000*K19,0)</f>
        <v/>
      </c>
      <c r="W19" s="75">
        <f>IF(AND(G19&lt;&gt;"",H19&lt;&gt;"",K19&lt;&gt;""),G19*H19/1000000*K19,0)</f>
        <v/>
      </c>
      <c r="X19" s="75">
        <f>0</f>
        <v/>
      </c>
      <c r="Y19" s="75">
        <f>S19</f>
        <v/>
      </c>
    </row>
    <row r="20" ht="15" customHeight="1" s="48">
      <c r="A20" s="67" t="n">
        <v>16</v>
      </c>
      <c r="B20" s="70" t="n"/>
      <c r="C20" s="70" t="n"/>
      <c r="D20" s="74" t="n"/>
      <c r="E20" s="74" t="n"/>
      <c r="F20" s="70" t="n"/>
      <c r="G20" s="70" t="n"/>
      <c r="H20" s="70" t="n"/>
      <c r="I20" s="70" t="n"/>
      <c r="J20" s="70" t="n"/>
      <c r="K20" s="70" t="n"/>
      <c r="L20" s="70" t="n"/>
      <c r="M20" s="75">
        <f>IF(AND(E20&lt;&gt;"",G20&lt;&gt;"",H20&lt;&gt;"",I20&lt;&gt;"",J20&lt;&gt;"",K20&lt;&gt;"",L20&lt;&gt;""),IF(E20="大型",(G20+2*J20)*(H20+2*J20)*(I20*0.5+L20)/1000000000*K20,(G20+2*J20)*(H20+2*J20)*(I20+L20)/1000000000*K20),0)</f>
        <v/>
      </c>
      <c r="N20" s="75">
        <f>IF(AND(G20&lt;&gt;"",H20&lt;&gt;"",J20&lt;&gt;"",K20&lt;&gt;"",L20&lt;&gt;""),(G20+2*J20)*(H20+2*J20)*L20/1000000000*K20,0)</f>
        <v/>
      </c>
      <c r="O20" s="75">
        <f>IF(AND(G20&lt;&gt;"",H20&lt;&gt;"",I20&lt;&gt;"",K20&lt;&gt;""),G20*H20*I20/1000000000*K20,0)</f>
        <v/>
      </c>
      <c r="P20" s="78">
        <f>IF(O20&gt;0,O20*2400,0)</f>
        <v/>
      </c>
      <c r="Q20" s="78">
        <f>IF(AND(E20&lt;&gt;"",F20&lt;&gt;""),IF(E20="大型",F20*5,F20*3),0)</f>
        <v/>
      </c>
      <c r="R20" s="79">
        <f>IF(AND(P20&gt;0,Q20&gt;0),IF(P20&gt;=Q20,"OK","NG"),"")</f>
        <v/>
      </c>
      <c r="S20" s="75">
        <f>IF(O20&gt;0,O20*80,0)</f>
        <v/>
      </c>
      <c r="T20" s="75">
        <f>IF(AND(G20&lt;&gt;"",H20&lt;&gt;"",I20&lt;&gt;"",K20&lt;&gt;""),1.65*(G20*H20/1000000+2*(G20+H20)*I20/1000000)*K20,0)</f>
        <v/>
      </c>
      <c r="U20" s="75">
        <f>IF(M20&gt;0,M20-N20-O20,0)</f>
        <v/>
      </c>
      <c r="V20" s="75">
        <f>IF(AND(G20&lt;&gt;"",H20&lt;&gt;"",I20&lt;&gt;"",K20&lt;&gt;""),2*(G20+H20)*I20/1000000*K20,0)</f>
        <v/>
      </c>
      <c r="W20" s="75">
        <f>IF(AND(G20&lt;&gt;"",H20&lt;&gt;"",K20&lt;&gt;""),G20*H20/1000000*K20,0)</f>
        <v/>
      </c>
      <c r="X20" s="75">
        <f>0</f>
        <v/>
      </c>
      <c r="Y20" s="75">
        <f>S20</f>
        <v/>
      </c>
    </row>
    <row r="21" ht="15" customHeight="1" s="48">
      <c r="A21" s="67" t="n">
        <v>17</v>
      </c>
      <c r="B21" s="70" t="n"/>
      <c r="C21" s="70" t="n"/>
      <c r="D21" s="74" t="n"/>
      <c r="E21" s="74" t="n"/>
      <c r="F21" s="70" t="n"/>
      <c r="G21" s="70" t="n"/>
      <c r="H21" s="70" t="n"/>
      <c r="I21" s="70" t="n"/>
      <c r="J21" s="70" t="n"/>
      <c r="K21" s="70" t="n"/>
      <c r="L21" s="70" t="n"/>
      <c r="M21" s="75">
        <f>IF(AND(E21&lt;&gt;"",G21&lt;&gt;"",H21&lt;&gt;"",I21&lt;&gt;"",J21&lt;&gt;"",K21&lt;&gt;"",L21&lt;&gt;""),IF(E21="大型",(G21+2*J21)*(H21+2*J21)*(I21*0.5+L21)/1000000000*K21,(G21+2*J21)*(H21+2*J21)*(I21+L21)/1000000000*K21),0)</f>
        <v/>
      </c>
      <c r="N21" s="75">
        <f>IF(AND(G21&lt;&gt;"",H21&lt;&gt;"",J21&lt;&gt;"",K21&lt;&gt;"",L21&lt;&gt;""),(G21+2*J21)*(H21+2*J21)*L21/1000000000*K21,0)</f>
        <v/>
      </c>
      <c r="O21" s="75">
        <f>IF(AND(G21&lt;&gt;"",H21&lt;&gt;"",I21&lt;&gt;"",K21&lt;&gt;""),G21*H21*I21/1000000000*K21,0)</f>
        <v/>
      </c>
      <c r="P21" s="78">
        <f>IF(O21&gt;0,O21*2400,0)</f>
        <v/>
      </c>
      <c r="Q21" s="78">
        <f>IF(AND(E21&lt;&gt;"",F21&lt;&gt;""),IF(E21="大型",F21*5,F21*3),0)</f>
        <v/>
      </c>
      <c r="R21" s="79">
        <f>IF(AND(P21&gt;0,Q21&gt;0),IF(P21&gt;=Q21,"OK","NG"),"")</f>
        <v/>
      </c>
      <c r="S21" s="75">
        <f>IF(O21&gt;0,O21*80,0)</f>
        <v/>
      </c>
      <c r="T21" s="75">
        <f>IF(AND(G21&lt;&gt;"",H21&lt;&gt;"",I21&lt;&gt;"",K21&lt;&gt;""),1.65*(G21*H21/1000000+2*(G21+H21)*I21/1000000)*K21,0)</f>
        <v/>
      </c>
      <c r="U21" s="75">
        <f>IF(M21&gt;0,M21-N21-O21,0)</f>
        <v/>
      </c>
      <c r="V21" s="75">
        <f>IF(AND(G21&lt;&gt;"",H21&lt;&gt;"",I21&lt;&gt;"",K21&lt;&gt;""),2*(G21+H21)*I21/1000000*K21,0)</f>
        <v/>
      </c>
      <c r="W21" s="75">
        <f>IF(AND(G21&lt;&gt;"",H21&lt;&gt;"",K21&lt;&gt;""),G21*H21/1000000*K21,0)</f>
        <v/>
      </c>
      <c r="X21" s="75">
        <f>0</f>
        <v/>
      </c>
      <c r="Y21" s="75">
        <f>S21</f>
        <v/>
      </c>
    </row>
    <row r="22" ht="15" customHeight="1" s="48">
      <c r="A22" s="67" t="n">
        <v>18</v>
      </c>
      <c r="B22" s="70" t="n"/>
      <c r="C22" s="70" t="n"/>
      <c r="D22" s="74" t="n"/>
      <c r="E22" s="74" t="n"/>
      <c r="F22" s="70" t="n"/>
      <c r="G22" s="70" t="n"/>
      <c r="H22" s="70" t="n"/>
      <c r="I22" s="70" t="n"/>
      <c r="J22" s="70" t="n"/>
      <c r="K22" s="70" t="n"/>
      <c r="L22" s="70" t="n"/>
      <c r="M22" s="75">
        <f>IF(AND(E22&lt;&gt;"",G22&lt;&gt;"",H22&lt;&gt;"",I22&lt;&gt;"",J22&lt;&gt;"",K22&lt;&gt;"",L22&lt;&gt;""),IF(E22="大型",(G22+2*J22)*(H22+2*J22)*(I22*0.5+L22)/1000000000*K22,(G22+2*J22)*(H22+2*J22)*(I22+L22)/1000000000*K22),0)</f>
        <v/>
      </c>
      <c r="N22" s="75">
        <f>IF(AND(G22&lt;&gt;"",H22&lt;&gt;"",J22&lt;&gt;"",K22&lt;&gt;"",L22&lt;&gt;""),(G22+2*J22)*(H22+2*J22)*L22/1000000000*K22,0)</f>
        <v/>
      </c>
      <c r="O22" s="75">
        <f>IF(AND(G22&lt;&gt;"",H22&lt;&gt;"",I22&lt;&gt;"",K22&lt;&gt;""),G22*H22*I22/1000000000*K22,0)</f>
        <v/>
      </c>
      <c r="P22" s="78">
        <f>IF(O22&gt;0,O22*2400,0)</f>
        <v/>
      </c>
      <c r="Q22" s="78">
        <f>IF(AND(E22&lt;&gt;"",F22&lt;&gt;""),IF(E22="大型",F22*5,F22*3),0)</f>
        <v/>
      </c>
      <c r="R22" s="79">
        <f>IF(AND(P22&gt;0,Q22&gt;0),IF(P22&gt;=Q22,"OK","NG"),"")</f>
        <v/>
      </c>
      <c r="S22" s="75">
        <f>IF(O22&gt;0,O22*80,0)</f>
        <v/>
      </c>
      <c r="T22" s="75">
        <f>IF(AND(G22&lt;&gt;"",H22&lt;&gt;"",I22&lt;&gt;"",K22&lt;&gt;""),1.65*(G22*H22/1000000+2*(G22+H22)*I22/1000000)*K22,0)</f>
        <v/>
      </c>
      <c r="U22" s="75">
        <f>IF(M22&gt;0,M22-N22-O22,0)</f>
        <v/>
      </c>
      <c r="V22" s="75">
        <f>IF(AND(G22&lt;&gt;"",H22&lt;&gt;"",I22&lt;&gt;"",K22&lt;&gt;""),2*(G22+H22)*I22/1000000*K22,0)</f>
        <v/>
      </c>
      <c r="W22" s="75">
        <f>IF(AND(G22&lt;&gt;"",H22&lt;&gt;"",K22&lt;&gt;""),G22*H22/1000000*K22,0)</f>
        <v/>
      </c>
      <c r="X22" s="75">
        <f>0</f>
        <v/>
      </c>
      <c r="Y22" s="75">
        <f>S22</f>
        <v/>
      </c>
    </row>
    <row r="23" ht="15" customHeight="1" s="48">
      <c r="A23" s="67" t="n">
        <v>19</v>
      </c>
      <c r="B23" s="70" t="n"/>
      <c r="C23" s="70" t="n"/>
      <c r="D23" s="74" t="n"/>
      <c r="E23" s="74" t="n"/>
      <c r="F23" s="70" t="n"/>
      <c r="G23" s="70" t="n"/>
      <c r="H23" s="70" t="n"/>
      <c r="I23" s="70" t="n"/>
      <c r="J23" s="70" t="n"/>
      <c r="K23" s="70" t="n"/>
      <c r="L23" s="70" t="n"/>
      <c r="M23" s="75">
        <f>IF(AND(E23&lt;&gt;"",G23&lt;&gt;"",H23&lt;&gt;"",I23&lt;&gt;"",J23&lt;&gt;"",K23&lt;&gt;"",L23&lt;&gt;""),IF(E23="大型",(G23+2*J23)*(H23+2*J23)*(I23*0.5+L23)/1000000000*K23,(G23+2*J23)*(H23+2*J23)*(I23+L23)/1000000000*K23),0)</f>
        <v/>
      </c>
      <c r="N23" s="75">
        <f>IF(AND(G23&lt;&gt;"",H23&lt;&gt;"",J23&lt;&gt;"",K23&lt;&gt;"",L23&lt;&gt;""),(G23+2*J23)*(H23+2*J23)*L23/1000000000*K23,0)</f>
        <v/>
      </c>
      <c r="O23" s="75">
        <f>IF(AND(G23&lt;&gt;"",H23&lt;&gt;"",I23&lt;&gt;"",K23&lt;&gt;""),G23*H23*I23/1000000000*K23,0)</f>
        <v/>
      </c>
      <c r="P23" s="78">
        <f>IF(O23&gt;0,O23*2400,0)</f>
        <v/>
      </c>
      <c r="Q23" s="78">
        <f>IF(AND(E23&lt;&gt;"",F23&lt;&gt;""),IF(E23="大型",F23*5,F23*3),0)</f>
        <v/>
      </c>
      <c r="R23" s="79">
        <f>IF(AND(P23&gt;0,Q23&gt;0),IF(P23&gt;=Q23,"OK","NG"),"")</f>
        <v/>
      </c>
      <c r="S23" s="75">
        <f>IF(O23&gt;0,O23*80,0)</f>
        <v/>
      </c>
      <c r="T23" s="75">
        <f>IF(AND(G23&lt;&gt;"",H23&lt;&gt;"",I23&lt;&gt;"",K23&lt;&gt;""),1.65*(G23*H23/1000000+2*(G23+H23)*I23/1000000)*K23,0)</f>
        <v/>
      </c>
      <c r="U23" s="75">
        <f>IF(M23&gt;0,M23-N23-O23,0)</f>
        <v/>
      </c>
      <c r="V23" s="75">
        <f>IF(AND(G23&lt;&gt;"",H23&lt;&gt;"",I23&lt;&gt;"",K23&lt;&gt;""),2*(G23+H23)*I23/1000000*K23,0)</f>
        <v/>
      </c>
      <c r="W23" s="75">
        <f>IF(AND(G23&lt;&gt;"",H23&lt;&gt;"",K23&lt;&gt;""),G23*H23/1000000*K23,0)</f>
        <v/>
      </c>
      <c r="X23" s="75">
        <f>0</f>
        <v/>
      </c>
      <c r="Y23" s="75">
        <f>S23</f>
        <v/>
      </c>
    </row>
    <row r="24" ht="15" customHeight="1" s="48">
      <c r="A24" s="67" t="n">
        <v>20</v>
      </c>
      <c r="B24" s="70" t="n"/>
      <c r="C24" s="70" t="n"/>
      <c r="D24" s="74" t="n"/>
      <c r="E24" s="74" t="n"/>
      <c r="F24" s="70" t="n"/>
      <c r="G24" s="70" t="n"/>
      <c r="H24" s="70" t="n"/>
      <c r="I24" s="70" t="n"/>
      <c r="J24" s="70" t="n"/>
      <c r="K24" s="70" t="n"/>
      <c r="L24" s="70" t="n"/>
      <c r="M24" s="75">
        <f>IF(AND(E24&lt;&gt;"",G24&lt;&gt;"",H24&lt;&gt;"",I24&lt;&gt;"",J24&lt;&gt;"",K24&lt;&gt;"",L24&lt;&gt;""),IF(E24="大型",(G24+2*J24)*(H24+2*J24)*(I24*0.5+L24)/1000000000*K24,(G24+2*J24)*(H24+2*J24)*(I24+L24)/1000000000*K24),0)</f>
        <v/>
      </c>
      <c r="N24" s="75">
        <f>IF(AND(G24&lt;&gt;"",H24&lt;&gt;"",J24&lt;&gt;"",K24&lt;&gt;"",L24&lt;&gt;""),(G24+2*J24)*(H24+2*J24)*L24/1000000000*K24,0)</f>
        <v/>
      </c>
      <c r="O24" s="75">
        <f>IF(AND(G24&lt;&gt;"",H24&lt;&gt;"",I24&lt;&gt;"",K24&lt;&gt;""),G24*H24*I24/1000000000*K24,0)</f>
        <v/>
      </c>
      <c r="P24" s="78">
        <f>IF(O24&gt;0,O24*2400,0)</f>
        <v/>
      </c>
      <c r="Q24" s="78">
        <f>IF(AND(E24&lt;&gt;"",F24&lt;&gt;""),IF(E24="大型",F24*5,F24*3),0)</f>
        <v/>
      </c>
      <c r="R24" s="79">
        <f>IF(AND(P24&gt;0,Q24&gt;0),IF(P24&gt;=Q24,"OK","NG"),"")</f>
        <v/>
      </c>
      <c r="S24" s="75">
        <f>IF(O24&gt;0,O24*80,0)</f>
        <v/>
      </c>
      <c r="T24" s="75">
        <f>IF(AND(G24&lt;&gt;"",H24&lt;&gt;"",I24&lt;&gt;"",K24&lt;&gt;""),1.65*(G24*H24/1000000+2*(G24+H24)*I24/1000000)*K24,0)</f>
        <v/>
      </c>
      <c r="U24" s="75">
        <f>IF(M24&gt;0,M24-N24-O24,0)</f>
        <v/>
      </c>
      <c r="V24" s="75">
        <f>IF(AND(G24&lt;&gt;"",H24&lt;&gt;"",I24&lt;&gt;"",K24&lt;&gt;""),2*(G24+H24)*I24/1000000*K24,0)</f>
        <v/>
      </c>
      <c r="W24" s="75">
        <f>IF(AND(G24&lt;&gt;"",H24&lt;&gt;"",K24&lt;&gt;""),G24*H24/1000000*K24,0)</f>
        <v/>
      </c>
      <c r="X24" s="75">
        <f>0</f>
        <v/>
      </c>
      <c r="Y24" s="75">
        <f>S24</f>
        <v/>
      </c>
    </row>
    <row r="25" ht="15" customHeight="1" s="48">
      <c r="A25" s="67" t="n">
        <v>21</v>
      </c>
      <c r="B25" s="70" t="n"/>
      <c r="C25" s="70" t="n"/>
      <c r="D25" s="74" t="n"/>
      <c r="E25" s="74" t="n"/>
      <c r="F25" s="70" t="n"/>
      <c r="G25" s="70" t="n"/>
      <c r="H25" s="70" t="n"/>
      <c r="I25" s="70" t="n"/>
      <c r="J25" s="70" t="n"/>
      <c r="K25" s="70" t="n"/>
      <c r="L25" s="70" t="n"/>
      <c r="M25" s="75">
        <f>IF(AND(E25&lt;&gt;"",G25&lt;&gt;"",H25&lt;&gt;"",I25&lt;&gt;"",J25&lt;&gt;"",K25&lt;&gt;"",L25&lt;&gt;""),IF(E25="大型",(G25+2*J25)*(H25+2*J25)*(I25*0.5+L25)/1000000000*K25,(G25+2*J25)*(H25+2*J25)*(I25+L25)/1000000000*K25),0)</f>
        <v/>
      </c>
      <c r="N25" s="75">
        <f>IF(AND(G25&lt;&gt;"",H25&lt;&gt;"",J25&lt;&gt;"",K25&lt;&gt;"",L25&lt;&gt;""),(G25+2*J25)*(H25+2*J25)*L25/1000000000*K25,0)</f>
        <v/>
      </c>
      <c r="O25" s="75">
        <f>IF(AND(G25&lt;&gt;"",H25&lt;&gt;"",I25&lt;&gt;"",K25&lt;&gt;""),G25*H25*I25/1000000000*K25,0)</f>
        <v/>
      </c>
      <c r="P25" s="78">
        <f>IF(O25&gt;0,O25*2400,0)</f>
        <v/>
      </c>
      <c r="Q25" s="78">
        <f>IF(AND(E25&lt;&gt;"",F25&lt;&gt;""),IF(E25="大型",F25*5,F25*3),0)</f>
        <v/>
      </c>
      <c r="R25" s="79">
        <f>IF(AND(P25&gt;0,Q25&gt;0),IF(P25&gt;=Q25,"OK","NG"),"")</f>
        <v/>
      </c>
      <c r="S25" s="75">
        <f>IF(O25&gt;0,O25*80,0)</f>
        <v/>
      </c>
      <c r="T25" s="75">
        <f>IF(AND(G25&lt;&gt;"",H25&lt;&gt;"",I25&lt;&gt;"",K25&lt;&gt;""),1.65*(G25*H25/1000000+2*(G25+H25)*I25/1000000)*K25,0)</f>
        <v/>
      </c>
      <c r="U25" s="75">
        <f>IF(M25&gt;0,M25-N25-O25,0)</f>
        <v/>
      </c>
      <c r="V25" s="75">
        <f>IF(AND(G25&lt;&gt;"",H25&lt;&gt;"",I25&lt;&gt;"",K25&lt;&gt;""),2*(G25+H25)*I25/1000000*K25,0)</f>
        <v/>
      </c>
      <c r="W25" s="75">
        <f>IF(AND(G25&lt;&gt;"",H25&lt;&gt;"",K25&lt;&gt;""),G25*H25/1000000*K25,0)</f>
        <v/>
      </c>
      <c r="X25" s="75">
        <f>0</f>
        <v/>
      </c>
      <c r="Y25" s="75">
        <f>S25</f>
        <v/>
      </c>
    </row>
    <row r="26" ht="15" customHeight="1" s="48">
      <c r="A26" s="67" t="n">
        <v>22</v>
      </c>
      <c r="B26" s="70" t="n"/>
      <c r="C26" s="70" t="n"/>
      <c r="D26" s="74" t="n"/>
      <c r="E26" s="74" t="n"/>
      <c r="F26" s="70" t="n"/>
      <c r="G26" s="70" t="n"/>
      <c r="H26" s="70" t="n"/>
      <c r="I26" s="70" t="n"/>
      <c r="J26" s="70" t="n"/>
      <c r="K26" s="70" t="n"/>
      <c r="L26" s="70" t="n"/>
      <c r="M26" s="75">
        <f>IF(AND(E26&lt;&gt;"",G26&lt;&gt;"",H26&lt;&gt;"",I26&lt;&gt;"",J26&lt;&gt;"",K26&lt;&gt;"",L26&lt;&gt;""),IF(E26="大型",(G26+2*J26)*(H26+2*J26)*(I26*0.5+L26)/1000000000*K26,(G26+2*J26)*(H26+2*J26)*(I26+L26)/1000000000*K26),0)</f>
        <v/>
      </c>
      <c r="N26" s="75">
        <f>IF(AND(G26&lt;&gt;"",H26&lt;&gt;"",J26&lt;&gt;"",K26&lt;&gt;"",L26&lt;&gt;""),(G26+2*J26)*(H26+2*J26)*L26/1000000000*K26,0)</f>
        <v/>
      </c>
      <c r="O26" s="75">
        <f>IF(AND(G26&lt;&gt;"",H26&lt;&gt;"",I26&lt;&gt;"",K26&lt;&gt;""),G26*H26*I26/1000000000*K26,0)</f>
        <v/>
      </c>
      <c r="P26" s="78">
        <f>IF(O26&gt;0,O26*2400,0)</f>
        <v/>
      </c>
      <c r="Q26" s="78">
        <f>IF(AND(E26&lt;&gt;"",F26&lt;&gt;""),IF(E26="大型",F26*5,F26*3),0)</f>
        <v/>
      </c>
      <c r="R26" s="79">
        <f>IF(AND(P26&gt;0,Q26&gt;0),IF(P26&gt;=Q26,"OK","NG"),"")</f>
        <v/>
      </c>
      <c r="S26" s="75">
        <f>IF(O26&gt;0,O26*80,0)</f>
        <v/>
      </c>
      <c r="T26" s="75">
        <f>IF(AND(G26&lt;&gt;"",H26&lt;&gt;"",I26&lt;&gt;"",K26&lt;&gt;""),1.65*(G26*H26/1000000+2*(G26+H26)*I26/1000000)*K26,0)</f>
        <v/>
      </c>
      <c r="U26" s="75">
        <f>IF(M26&gt;0,M26-N26-O26,0)</f>
        <v/>
      </c>
      <c r="V26" s="75">
        <f>IF(AND(G26&lt;&gt;"",H26&lt;&gt;"",I26&lt;&gt;"",K26&lt;&gt;""),2*(G26+H26)*I26/1000000*K26,0)</f>
        <v/>
      </c>
      <c r="W26" s="75">
        <f>IF(AND(G26&lt;&gt;"",H26&lt;&gt;"",K26&lt;&gt;""),G26*H26/1000000*K26,0)</f>
        <v/>
      </c>
      <c r="X26" s="75">
        <f>0</f>
        <v/>
      </c>
      <c r="Y26" s="75">
        <f>S26</f>
        <v/>
      </c>
    </row>
    <row r="27" ht="15" customHeight="1" s="48">
      <c r="A27" s="67" t="n">
        <v>23</v>
      </c>
      <c r="B27" s="70" t="n"/>
      <c r="C27" s="70" t="n"/>
      <c r="D27" s="74" t="n"/>
      <c r="E27" s="74" t="n"/>
      <c r="F27" s="70" t="n"/>
      <c r="G27" s="70" t="n"/>
      <c r="H27" s="70" t="n"/>
      <c r="I27" s="70" t="n"/>
      <c r="J27" s="70" t="n"/>
      <c r="K27" s="70" t="n"/>
      <c r="L27" s="70" t="n"/>
      <c r="M27" s="75">
        <f>IF(AND(E27&lt;&gt;"",G27&lt;&gt;"",H27&lt;&gt;"",I27&lt;&gt;"",J27&lt;&gt;"",K27&lt;&gt;"",L27&lt;&gt;""),IF(E27="大型",(G27+2*J27)*(H27+2*J27)*(I27*0.5+L27)/1000000000*K27,(G27+2*J27)*(H27+2*J27)*(I27+L27)/1000000000*K27),0)</f>
        <v/>
      </c>
      <c r="N27" s="75">
        <f>IF(AND(G27&lt;&gt;"",H27&lt;&gt;"",J27&lt;&gt;"",K27&lt;&gt;"",L27&lt;&gt;""),(G27+2*J27)*(H27+2*J27)*L27/1000000000*K27,0)</f>
        <v/>
      </c>
      <c r="O27" s="75">
        <f>IF(AND(G27&lt;&gt;"",H27&lt;&gt;"",I27&lt;&gt;"",K27&lt;&gt;""),G27*H27*I27/1000000000*K27,0)</f>
        <v/>
      </c>
      <c r="P27" s="78">
        <f>IF(O27&gt;0,O27*2400,0)</f>
        <v/>
      </c>
      <c r="Q27" s="78">
        <f>IF(AND(E27&lt;&gt;"",F27&lt;&gt;""),IF(E27="大型",F27*5,F27*3),0)</f>
        <v/>
      </c>
      <c r="R27" s="79">
        <f>IF(AND(P27&gt;0,Q27&gt;0),IF(P27&gt;=Q27,"OK","NG"),"")</f>
        <v/>
      </c>
      <c r="S27" s="75">
        <f>IF(O27&gt;0,O27*80,0)</f>
        <v/>
      </c>
      <c r="T27" s="75">
        <f>IF(AND(G27&lt;&gt;"",H27&lt;&gt;"",I27&lt;&gt;"",K27&lt;&gt;""),1.65*(G27*H27/1000000+2*(G27+H27)*I27/1000000)*K27,0)</f>
        <v/>
      </c>
      <c r="U27" s="75">
        <f>IF(M27&gt;0,M27-N27-O27,0)</f>
        <v/>
      </c>
      <c r="V27" s="75">
        <f>IF(AND(G27&lt;&gt;"",H27&lt;&gt;"",I27&lt;&gt;"",K27&lt;&gt;""),2*(G27+H27)*I27/1000000*K27,0)</f>
        <v/>
      </c>
      <c r="W27" s="75">
        <f>IF(AND(G27&lt;&gt;"",H27&lt;&gt;"",K27&lt;&gt;""),G27*H27/1000000*K27,0)</f>
        <v/>
      </c>
      <c r="X27" s="75">
        <f>0</f>
        <v/>
      </c>
      <c r="Y27" s="75">
        <f>S27</f>
        <v/>
      </c>
    </row>
    <row r="28" ht="15" customHeight="1" s="48">
      <c r="A28" s="67" t="n">
        <v>24</v>
      </c>
      <c r="B28" s="70" t="n"/>
      <c r="C28" s="70" t="n"/>
      <c r="D28" s="74" t="n"/>
      <c r="E28" s="74" t="n"/>
      <c r="F28" s="70" t="n"/>
      <c r="G28" s="70" t="n"/>
      <c r="H28" s="70" t="n"/>
      <c r="I28" s="70" t="n"/>
      <c r="J28" s="70" t="n"/>
      <c r="K28" s="70" t="n"/>
      <c r="L28" s="70" t="n"/>
      <c r="M28" s="75">
        <f>IF(AND(E28&lt;&gt;"",G28&lt;&gt;"",H28&lt;&gt;"",I28&lt;&gt;"",J28&lt;&gt;"",K28&lt;&gt;"",L28&lt;&gt;""),IF(E28="大型",(G28+2*J28)*(H28+2*J28)*(I28*0.5+L28)/1000000000*K28,(G28+2*J28)*(H28+2*J28)*(I28+L28)/1000000000*K28),0)</f>
        <v/>
      </c>
      <c r="N28" s="75">
        <f>IF(AND(G28&lt;&gt;"",H28&lt;&gt;"",J28&lt;&gt;"",K28&lt;&gt;"",L28&lt;&gt;""),(G28+2*J28)*(H28+2*J28)*L28/1000000000*K28,0)</f>
        <v/>
      </c>
      <c r="O28" s="75">
        <f>IF(AND(G28&lt;&gt;"",H28&lt;&gt;"",I28&lt;&gt;"",K28&lt;&gt;""),G28*H28*I28/1000000000*K28,0)</f>
        <v/>
      </c>
      <c r="P28" s="78">
        <f>IF(O28&gt;0,O28*2400,0)</f>
        <v/>
      </c>
      <c r="Q28" s="78">
        <f>IF(AND(E28&lt;&gt;"",F28&lt;&gt;""),IF(E28="大型",F28*5,F28*3),0)</f>
        <v/>
      </c>
      <c r="R28" s="79">
        <f>IF(AND(P28&gt;0,Q28&gt;0),IF(P28&gt;=Q28,"OK","NG"),"")</f>
        <v/>
      </c>
      <c r="S28" s="75">
        <f>IF(O28&gt;0,O28*80,0)</f>
        <v/>
      </c>
      <c r="T28" s="75">
        <f>IF(AND(G28&lt;&gt;"",H28&lt;&gt;"",I28&lt;&gt;"",K28&lt;&gt;""),1.65*(G28*H28/1000000+2*(G28+H28)*I28/1000000)*K28,0)</f>
        <v/>
      </c>
      <c r="U28" s="75">
        <f>IF(M28&gt;0,M28-N28-O28,0)</f>
        <v/>
      </c>
      <c r="V28" s="75">
        <f>IF(AND(G28&lt;&gt;"",H28&lt;&gt;"",I28&lt;&gt;"",K28&lt;&gt;""),2*(G28+H28)*I28/1000000*K28,0)</f>
        <v/>
      </c>
      <c r="W28" s="75">
        <f>IF(AND(G28&lt;&gt;"",H28&lt;&gt;"",K28&lt;&gt;""),G28*H28/1000000*K28,0)</f>
        <v/>
      </c>
      <c r="X28" s="75">
        <f>0</f>
        <v/>
      </c>
      <c r="Y28" s="75">
        <f>S28</f>
        <v/>
      </c>
    </row>
    <row r="29" ht="15" customHeight="1" s="48">
      <c r="A29" s="67" t="n">
        <v>25</v>
      </c>
      <c r="B29" s="70" t="n"/>
      <c r="C29" s="70" t="n"/>
      <c r="D29" s="74" t="n"/>
      <c r="E29" s="74" t="n"/>
      <c r="F29" s="70" t="n"/>
      <c r="G29" s="70" t="n"/>
      <c r="H29" s="70" t="n"/>
      <c r="I29" s="70" t="n"/>
      <c r="J29" s="70" t="n"/>
      <c r="K29" s="70" t="n"/>
      <c r="L29" s="70" t="n"/>
      <c r="M29" s="75">
        <f>IF(AND(E29&lt;&gt;"",G29&lt;&gt;"",H29&lt;&gt;"",I29&lt;&gt;"",J29&lt;&gt;"",K29&lt;&gt;"",L29&lt;&gt;""),IF(E29="大型",(G29+2*J29)*(H29+2*J29)*(I29*0.5+L29)/1000000000*K29,(G29+2*J29)*(H29+2*J29)*(I29+L29)/1000000000*K29),0)</f>
        <v/>
      </c>
      <c r="N29" s="75">
        <f>IF(AND(G29&lt;&gt;"",H29&lt;&gt;"",J29&lt;&gt;"",K29&lt;&gt;"",L29&lt;&gt;""),(G29+2*J29)*(H29+2*J29)*L29/1000000000*K29,0)</f>
        <v/>
      </c>
      <c r="O29" s="75">
        <f>IF(AND(G29&lt;&gt;"",H29&lt;&gt;"",I29&lt;&gt;"",K29&lt;&gt;""),G29*H29*I29/1000000000*K29,0)</f>
        <v/>
      </c>
      <c r="P29" s="78">
        <f>IF(O29&gt;0,O29*2400,0)</f>
        <v/>
      </c>
      <c r="Q29" s="78">
        <f>IF(AND(E29&lt;&gt;"",F29&lt;&gt;""),IF(E29="大型",F29*5,F29*3),0)</f>
        <v/>
      </c>
      <c r="R29" s="79">
        <f>IF(AND(P29&gt;0,Q29&gt;0),IF(P29&gt;=Q29,"OK","NG"),"")</f>
        <v/>
      </c>
      <c r="S29" s="75">
        <f>IF(O29&gt;0,O29*80,0)</f>
        <v/>
      </c>
      <c r="T29" s="75">
        <f>IF(AND(G29&lt;&gt;"",H29&lt;&gt;"",I29&lt;&gt;"",K29&lt;&gt;""),1.65*(G29*H29/1000000+2*(G29+H29)*I29/1000000)*K29,0)</f>
        <v/>
      </c>
      <c r="U29" s="75">
        <f>IF(M29&gt;0,M29-N29-O29,0)</f>
        <v/>
      </c>
      <c r="V29" s="75">
        <f>IF(AND(G29&lt;&gt;"",H29&lt;&gt;"",I29&lt;&gt;"",K29&lt;&gt;""),2*(G29+H29)*I29/1000000*K29,0)</f>
        <v/>
      </c>
      <c r="W29" s="75">
        <f>IF(AND(G29&lt;&gt;"",H29&lt;&gt;"",K29&lt;&gt;""),G29*H29/1000000*K29,0)</f>
        <v/>
      </c>
      <c r="X29" s="75">
        <f>0</f>
        <v/>
      </c>
      <c r="Y29" s="75">
        <f>S29</f>
        <v/>
      </c>
    </row>
    <row r="30" ht="15" customHeight="1" s="48">
      <c r="A30" s="67" t="n">
        <v>26</v>
      </c>
      <c r="B30" s="70" t="n"/>
      <c r="C30" s="70" t="n"/>
      <c r="D30" s="74" t="n"/>
      <c r="E30" s="74" t="n"/>
      <c r="F30" s="70" t="n"/>
      <c r="G30" s="70" t="n"/>
      <c r="H30" s="70" t="n"/>
      <c r="I30" s="70" t="n"/>
      <c r="J30" s="70" t="n"/>
      <c r="K30" s="70" t="n"/>
      <c r="L30" s="70" t="n"/>
      <c r="M30" s="75">
        <f>IF(AND(E30&lt;&gt;"",G30&lt;&gt;"",H30&lt;&gt;"",I30&lt;&gt;"",J30&lt;&gt;"",K30&lt;&gt;"",L30&lt;&gt;""),IF(E30="大型",(G30+2*J30)*(H30+2*J30)*(I30*0.5+L30)/1000000000*K30,(G30+2*J30)*(H30+2*J30)*(I30+L30)/1000000000*K30),0)</f>
        <v/>
      </c>
      <c r="N30" s="75">
        <f>IF(AND(G30&lt;&gt;"",H30&lt;&gt;"",J30&lt;&gt;"",K30&lt;&gt;"",L30&lt;&gt;""),(G30+2*J30)*(H30+2*J30)*L30/1000000000*K30,0)</f>
        <v/>
      </c>
      <c r="O30" s="75">
        <f>IF(AND(G30&lt;&gt;"",H30&lt;&gt;"",I30&lt;&gt;"",K30&lt;&gt;""),G30*H30*I30/1000000000*K30,0)</f>
        <v/>
      </c>
      <c r="P30" s="78">
        <f>IF(O30&gt;0,O30*2400,0)</f>
        <v/>
      </c>
      <c r="Q30" s="78">
        <f>IF(AND(E30&lt;&gt;"",F30&lt;&gt;""),IF(E30="大型",F30*5,F30*3),0)</f>
        <v/>
      </c>
      <c r="R30" s="79">
        <f>IF(AND(P30&gt;0,Q30&gt;0),IF(P30&gt;=Q30,"OK","NG"),"")</f>
        <v/>
      </c>
      <c r="S30" s="75">
        <f>IF(O30&gt;0,O30*80,0)</f>
        <v/>
      </c>
      <c r="T30" s="75">
        <f>IF(AND(G30&lt;&gt;"",H30&lt;&gt;"",I30&lt;&gt;"",K30&lt;&gt;""),1.65*(G30*H30/1000000+2*(G30+H30)*I30/1000000)*K30,0)</f>
        <v/>
      </c>
      <c r="U30" s="75">
        <f>IF(M30&gt;0,M30-N30-O30,0)</f>
        <v/>
      </c>
      <c r="V30" s="75">
        <f>IF(AND(G30&lt;&gt;"",H30&lt;&gt;"",I30&lt;&gt;"",K30&lt;&gt;""),2*(G30+H30)*I30/1000000*K30,0)</f>
        <v/>
      </c>
      <c r="W30" s="75">
        <f>IF(AND(G30&lt;&gt;"",H30&lt;&gt;"",K30&lt;&gt;""),G30*H30/1000000*K30,0)</f>
        <v/>
      </c>
      <c r="X30" s="75">
        <f>0</f>
        <v/>
      </c>
      <c r="Y30" s="75">
        <f>S30</f>
        <v/>
      </c>
    </row>
    <row r="31" ht="15" customHeight="1" s="48">
      <c r="A31" s="67" t="n">
        <v>27</v>
      </c>
      <c r="B31" s="70" t="n"/>
      <c r="C31" s="70" t="n"/>
      <c r="D31" s="74" t="n"/>
      <c r="E31" s="74" t="n"/>
      <c r="F31" s="70" t="n"/>
      <c r="G31" s="70" t="n"/>
      <c r="H31" s="70" t="n"/>
      <c r="I31" s="70" t="n"/>
      <c r="J31" s="70" t="n"/>
      <c r="K31" s="70" t="n"/>
      <c r="L31" s="70" t="n"/>
      <c r="M31" s="75">
        <f>IF(AND(E31&lt;&gt;"",G31&lt;&gt;"",H31&lt;&gt;"",I31&lt;&gt;"",J31&lt;&gt;"",K31&lt;&gt;"",L31&lt;&gt;""),IF(E31="大型",(G31+2*J31)*(H31+2*J31)*(I31*0.5+L31)/1000000000*K31,(G31+2*J31)*(H31+2*J31)*(I31+L31)/1000000000*K31),0)</f>
        <v/>
      </c>
      <c r="N31" s="75">
        <f>IF(AND(G31&lt;&gt;"",H31&lt;&gt;"",J31&lt;&gt;"",K31&lt;&gt;"",L31&lt;&gt;""),(G31+2*J31)*(H31+2*J31)*L31/1000000000*K31,0)</f>
        <v/>
      </c>
      <c r="O31" s="75">
        <f>IF(AND(G31&lt;&gt;"",H31&lt;&gt;"",I31&lt;&gt;"",K31&lt;&gt;""),G31*H31*I31/1000000000*K31,0)</f>
        <v/>
      </c>
      <c r="P31" s="78">
        <f>IF(O31&gt;0,O31*2400,0)</f>
        <v/>
      </c>
      <c r="Q31" s="78">
        <f>IF(AND(E31&lt;&gt;"",F31&lt;&gt;""),IF(E31="大型",F31*5,F31*3),0)</f>
        <v/>
      </c>
      <c r="R31" s="79">
        <f>IF(AND(P31&gt;0,Q31&gt;0),IF(P31&gt;=Q31,"OK","NG"),"")</f>
        <v/>
      </c>
      <c r="S31" s="75">
        <f>IF(O31&gt;0,O31*80,0)</f>
        <v/>
      </c>
      <c r="T31" s="75">
        <f>IF(AND(G31&lt;&gt;"",H31&lt;&gt;"",I31&lt;&gt;"",K31&lt;&gt;""),1.65*(G31*H31/1000000+2*(G31+H31)*I31/1000000)*K31,0)</f>
        <v/>
      </c>
      <c r="U31" s="75">
        <f>IF(M31&gt;0,M31-N31-O31,0)</f>
        <v/>
      </c>
      <c r="V31" s="75">
        <f>IF(AND(G31&lt;&gt;"",H31&lt;&gt;"",I31&lt;&gt;"",K31&lt;&gt;""),2*(G31+H31)*I31/1000000*K31,0)</f>
        <v/>
      </c>
      <c r="W31" s="75">
        <f>IF(AND(G31&lt;&gt;"",H31&lt;&gt;"",K31&lt;&gt;""),G31*H31/1000000*K31,0)</f>
        <v/>
      </c>
      <c r="X31" s="75">
        <f>0</f>
        <v/>
      </c>
      <c r="Y31" s="75">
        <f>S31</f>
        <v/>
      </c>
    </row>
    <row r="32" ht="15" customHeight="1" s="48">
      <c r="A32" s="67" t="n">
        <v>28</v>
      </c>
      <c r="B32" s="70" t="n"/>
      <c r="C32" s="70" t="n"/>
      <c r="D32" s="74" t="n"/>
      <c r="E32" s="74" t="n"/>
      <c r="F32" s="70" t="n"/>
      <c r="G32" s="70" t="n"/>
      <c r="H32" s="70" t="n"/>
      <c r="I32" s="70" t="n"/>
      <c r="J32" s="70" t="n"/>
      <c r="K32" s="70" t="n"/>
      <c r="L32" s="70" t="n"/>
      <c r="M32" s="75">
        <f>IF(AND(E32&lt;&gt;"",G32&lt;&gt;"",H32&lt;&gt;"",I32&lt;&gt;"",J32&lt;&gt;"",K32&lt;&gt;"",L32&lt;&gt;""),IF(E32="大型",(G32+2*J32)*(H32+2*J32)*(I32*0.5+L32)/1000000000*K32,(G32+2*J32)*(H32+2*J32)*(I32+L32)/1000000000*K32),0)</f>
        <v/>
      </c>
      <c r="N32" s="75">
        <f>IF(AND(G32&lt;&gt;"",H32&lt;&gt;"",J32&lt;&gt;"",K32&lt;&gt;"",L32&lt;&gt;""),(G32+2*J32)*(H32+2*J32)*L32/1000000000*K32,0)</f>
        <v/>
      </c>
      <c r="O32" s="75">
        <f>IF(AND(G32&lt;&gt;"",H32&lt;&gt;"",I32&lt;&gt;"",K32&lt;&gt;""),G32*H32*I32/1000000000*K32,0)</f>
        <v/>
      </c>
      <c r="P32" s="78">
        <f>IF(O32&gt;0,O32*2400,0)</f>
        <v/>
      </c>
      <c r="Q32" s="78">
        <f>IF(AND(E32&lt;&gt;"",F32&lt;&gt;""),IF(E32="大型",F32*5,F32*3),0)</f>
        <v/>
      </c>
      <c r="R32" s="79">
        <f>IF(AND(P32&gt;0,Q32&gt;0),IF(P32&gt;=Q32,"OK","NG"),"")</f>
        <v/>
      </c>
      <c r="S32" s="75">
        <f>IF(O32&gt;0,O32*80,0)</f>
        <v/>
      </c>
      <c r="T32" s="75">
        <f>IF(AND(G32&lt;&gt;"",H32&lt;&gt;"",I32&lt;&gt;"",K32&lt;&gt;""),1.65*(G32*H32/1000000+2*(G32+H32)*I32/1000000)*K32,0)</f>
        <v/>
      </c>
      <c r="U32" s="75">
        <f>IF(M32&gt;0,M32-N32-O32,0)</f>
        <v/>
      </c>
      <c r="V32" s="75">
        <f>IF(AND(G32&lt;&gt;"",H32&lt;&gt;"",I32&lt;&gt;"",K32&lt;&gt;""),2*(G32+H32)*I32/1000000*K32,0)</f>
        <v/>
      </c>
      <c r="W32" s="75">
        <f>IF(AND(G32&lt;&gt;"",H32&lt;&gt;"",K32&lt;&gt;""),G32*H32/1000000*K32,0)</f>
        <v/>
      </c>
      <c r="X32" s="75">
        <f>0</f>
        <v/>
      </c>
      <c r="Y32" s="75">
        <f>S32</f>
        <v/>
      </c>
    </row>
    <row r="33" ht="15" customHeight="1" s="48">
      <c r="A33" s="67" t="n">
        <v>29</v>
      </c>
      <c r="B33" s="70" t="n"/>
      <c r="C33" s="70" t="n"/>
      <c r="D33" s="74" t="n"/>
      <c r="E33" s="74" t="n"/>
      <c r="F33" s="70" t="n"/>
      <c r="G33" s="70" t="n"/>
      <c r="H33" s="70" t="n"/>
      <c r="I33" s="70" t="n"/>
      <c r="J33" s="70" t="n"/>
      <c r="K33" s="70" t="n"/>
      <c r="L33" s="70" t="n"/>
      <c r="M33" s="75">
        <f>IF(AND(E33&lt;&gt;"",G33&lt;&gt;"",H33&lt;&gt;"",I33&lt;&gt;"",J33&lt;&gt;"",K33&lt;&gt;"",L33&lt;&gt;""),IF(E33="大型",(G33+2*J33)*(H33+2*J33)*(I33*0.5+L33)/1000000000*K33,(G33+2*J33)*(H33+2*J33)*(I33+L33)/1000000000*K33),0)</f>
        <v/>
      </c>
      <c r="N33" s="75">
        <f>IF(AND(G33&lt;&gt;"",H33&lt;&gt;"",J33&lt;&gt;"",K33&lt;&gt;"",L33&lt;&gt;""),(G33+2*J33)*(H33+2*J33)*L33/1000000000*K33,0)</f>
        <v/>
      </c>
      <c r="O33" s="75">
        <f>IF(AND(G33&lt;&gt;"",H33&lt;&gt;"",I33&lt;&gt;"",K33&lt;&gt;""),G33*H33*I33/1000000000*K33,0)</f>
        <v/>
      </c>
      <c r="P33" s="78">
        <f>IF(O33&gt;0,O33*2400,0)</f>
        <v/>
      </c>
      <c r="Q33" s="78">
        <f>IF(AND(E33&lt;&gt;"",F33&lt;&gt;""),IF(E33="大型",F33*5,F33*3),0)</f>
        <v/>
      </c>
      <c r="R33" s="79">
        <f>IF(AND(P33&gt;0,Q33&gt;0),IF(P33&gt;=Q33,"OK","NG"),"")</f>
        <v/>
      </c>
      <c r="S33" s="75">
        <f>IF(O33&gt;0,O33*80,0)</f>
        <v/>
      </c>
      <c r="T33" s="75">
        <f>IF(AND(G33&lt;&gt;"",H33&lt;&gt;"",I33&lt;&gt;"",K33&lt;&gt;""),1.65*(G33*H33/1000000+2*(G33+H33)*I33/1000000)*K33,0)</f>
        <v/>
      </c>
      <c r="U33" s="75">
        <f>IF(M33&gt;0,M33-N33-O33,0)</f>
        <v/>
      </c>
      <c r="V33" s="75">
        <f>IF(AND(G33&lt;&gt;"",H33&lt;&gt;"",I33&lt;&gt;"",K33&lt;&gt;""),2*(G33+H33)*I33/1000000*K33,0)</f>
        <v/>
      </c>
      <c r="W33" s="75">
        <f>IF(AND(G33&lt;&gt;"",H33&lt;&gt;"",K33&lt;&gt;""),G33*H33/1000000*K33,0)</f>
        <v/>
      </c>
      <c r="X33" s="75">
        <f>0</f>
        <v/>
      </c>
      <c r="Y33" s="75">
        <f>S33</f>
        <v/>
      </c>
    </row>
    <row r="34" ht="15" customHeight="1" s="48">
      <c r="A34" s="67" t="n">
        <v>30</v>
      </c>
      <c r="B34" s="70" t="n"/>
      <c r="C34" s="70" t="n"/>
      <c r="D34" s="74" t="n"/>
      <c r="E34" s="74" t="n"/>
      <c r="F34" s="70" t="n"/>
      <c r="G34" s="70" t="n"/>
      <c r="H34" s="70" t="n"/>
      <c r="I34" s="70" t="n"/>
      <c r="J34" s="70" t="n"/>
      <c r="K34" s="70" t="n"/>
      <c r="L34" s="70" t="n"/>
      <c r="M34" s="75">
        <f>IF(AND(E34&lt;&gt;"",G34&lt;&gt;"",H34&lt;&gt;"",I34&lt;&gt;"",J34&lt;&gt;"",K34&lt;&gt;"",L34&lt;&gt;""),IF(E34="大型",(G34+2*J34)*(H34+2*J34)*(I34*0.5+L34)/1000000000*K34,(G34+2*J34)*(H34+2*J34)*(I34+L34)/1000000000*K34),0)</f>
        <v/>
      </c>
      <c r="N34" s="75">
        <f>IF(AND(G34&lt;&gt;"",H34&lt;&gt;"",J34&lt;&gt;"",K34&lt;&gt;"",L34&lt;&gt;""),(G34+2*J34)*(H34+2*J34)*L34/1000000000*K34,0)</f>
        <v/>
      </c>
      <c r="O34" s="75">
        <f>IF(AND(G34&lt;&gt;"",H34&lt;&gt;"",I34&lt;&gt;"",K34&lt;&gt;""),G34*H34*I34/1000000000*K34,0)</f>
        <v/>
      </c>
      <c r="P34" s="78">
        <f>IF(O34&gt;0,O34*2400,0)</f>
        <v/>
      </c>
      <c r="Q34" s="78">
        <f>IF(AND(E34&lt;&gt;"",F34&lt;&gt;""),IF(E34="大型",F34*5,F34*3),0)</f>
        <v/>
      </c>
      <c r="R34" s="79">
        <f>IF(AND(P34&gt;0,Q34&gt;0),IF(P34&gt;=Q34,"OK","NG"),"")</f>
        <v/>
      </c>
      <c r="S34" s="75">
        <f>IF(O34&gt;0,O34*80,0)</f>
        <v/>
      </c>
      <c r="T34" s="75">
        <f>IF(AND(G34&lt;&gt;"",H34&lt;&gt;"",I34&lt;&gt;"",K34&lt;&gt;""),1.65*(G34*H34/1000000+2*(G34+H34)*I34/1000000)*K34,0)</f>
        <v/>
      </c>
      <c r="U34" s="75">
        <f>IF(M34&gt;0,M34-N34-O34,0)</f>
        <v/>
      </c>
      <c r="V34" s="75">
        <f>IF(AND(G34&lt;&gt;"",H34&lt;&gt;"",I34&lt;&gt;"",K34&lt;&gt;""),2*(G34+H34)*I34/1000000*K34,0)</f>
        <v/>
      </c>
      <c r="W34" s="75">
        <f>IF(AND(G34&lt;&gt;"",H34&lt;&gt;"",K34&lt;&gt;""),G34*H34/1000000*K34,0)</f>
        <v/>
      </c>
      <c r="X34" s="75">
        <f>0</f>
        <v/>
      </c>
      <c r="Y34" s="75">
        <f>S34</f>
        <v/>
      </c>
    </row>
    <row r="35" ht="16.5" customHeight="1" s="48">
      <c r="K35" s="76" t="inlineStr">
        <is>
          <t>合計</t>
        </is>
      </c>
      <c r="M35" s="77">
        <f>SUM(M5:M34)</f>
        <v/>
      </c>
      <c r="N35" s="77">
        <f>SUM(N5:N34)</f>
        <v/>
      </c>
      <c r="O35" s="77">
        <f>SUM(O5:O34)</f>
        <v/>
      </c>
      <c r="P35" s="77">
        <f>SUM(P5:P34)</f>
        <v/>
      </c>
      <c r="Q35" s="77">
        <f>SUM(Q5:Q34)</f>
        <v/>
      </c>
      <c r="S35" s="77">
        <f>SUM(S5:S34)</f>
        <v/>
      </c>
      <c r="T35" s="77">
        <f>SUM(T5:T34)</f>
        <v/>
      </c>
      <c r="U35" s="77">
        <f>SUM(U5:U34)</f>
        <v/>
      </c>
      <c r="V35" s="77">
        <f>SUM(V5:V34)</f>
        <v/>
      </c>
      <c r="W35" s="77">
        <f>SUM(W5:W34)</f>
        <v/>
      </c>
      <c r="X35" s="77">
        <f>SUM(X5:X34)</f>
        <v/>
      </c>
      <c r="Y35" s="77">
        <f>SUM(Y5:Y34)</f>
        <v/>
      </c>
    </row>
  </sheetData>
  <mergeCells count="2">
    <mergeCell ref="A2:Y2"/>
    <mergeCell ref="A1:Y1"/>
  </mergeCells>
  <dataValidations count="2">
    <dataValidation sqref="D5:D34" showDropDown="0" showInputMessage="0" showErrorMessage="0" allowBlank="1" type="list" errorStyle="stop" operator="between">
      <formula1>"EQ-01"</formula1>
      <formula2>0</formula2>
    </dataValidation>
    <dataValidation sqref="E5:E34" showDropDown="0" showInputMessage="0" showErrorMessage="0" allowBlank="1" type="list" errorStyle="stop" operator="between">
      <formula1>"小型,大型"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T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2"/>
    <col width="10" customWidth="1" style="47" min="3" max="4"/>
    <col width="9" customWidth="1" style="47" min="5" max="5"/>
    <col width="8" customWidth="1" style="47" min="6" max="6"/>
    <col width="9" customWidth="1" style="47" min="7" max="9"/>
    <col width="7" customWidth="1" style="47" min="10" max="10"/>
    <col width="12" customWidth="1" style="47" min="11" max="11"/>
    <col width="9" customWidth="1" style="47" min="12" max="12"/>
    <col width="11" customWidth="1" style="47" min="13" max="20"/>
  </cols>
  <sheetData>
    <row r="1" ht="17.25" customHeight="1" s="48">
      <c r="A1" s="68" t="inlineStr">
        <is>
          <t>樓梯 數量計算表</t>
        </is>
      </c>
    </row>
    <row r="2" ht="13.5" customHeight="1" s="48">
      <c r="A2" s="50" t="inlineStr">
        <is>
          <t>梯段+平台合併填寫。斜長自動計算。含粉光(踏面+立面)。</t>
        </is>
      </c>
    </row>
    <row r="3" ht="15" customHeight="1" s="48">
      <c r="A3" s="51" t="inlineStr">
        <is>
          <t>預設鋼筋長度 (m):</t>
        </is>
      </c>
      <c r="B3" s="80" t="n">
        <v>6</v>
      </c>
    </row>
    <row r="4" ht="1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樓梯編號</t>
        </is>
      </c>
      <c r="D4" s="59" t="inlineStr">
        <is>
          <t>▼型式</t>
        </is>
      </c>
      <c r="E4" s="59" t="inlineStr">
        <is>
          <t>梯寬 (mm)</t>
        </is>
      </c>
      <c r="F4" s="59" t="inlineStr">
        <is>
          <t>級數</t>
        </is>
      </c>
      <c r="G4" s="59" t="inlineStr">
        <is>
          <t>級高 (mm)</t>
        </is>
      </c>
      <c r="H4" s="59" t="inlineStr">
        <is>
          <t>級深 (mm)</t>
        </is>
      </c>
      <c r="I4" s="59" t="inlineStr">
        <is>
          <t>板厚 (mm)</t>
        </is>
      </c>
      <c r="J4" s="59" t="inlineStr">
        <is>
          <t>數量</t>
        </is>
      </c>
      <c r="K4" s="59" t="inlineStr">
        <is>
          <t>▼主筋</t>
        </is>
      </c>
      <c r="L4" s="59" t="inlineStr">
        <is>
          <t>間距 (mm)</t>
        </is>
      </c>
      <c r="M4" s="59" t="inlineStr">
        <is>
          <t>斜長 (m)</t>
        </is>
      </c>
      <c r="N4" s="59" t="inlineStr">
        <is>
          <t>混凝土 (m3)</t>
        </is>
      </c>
      <c r="O4" s="59" t="inlineStr">
        <is>
          <t>主筋重 (kg)</t>
        </is>
      </c>
      <c r="P4" s="59" t="inlineStr">
        <is>
          <t>分佈筋 (kg)</t>
        </is>
      </c>
      <c r="Q4" s="59" t="inlineStr">
        <is>
          <t>模板 (m2)</t>
        </is>
      </c>
      <c r="R4" s="59" t="inlineStr">
        <is>
          <t>粉光 (m2)</t>
        </is>
      </c>
      <c r="S4" s="60" t="inlineStr">
        <is>
          <t>SD280 (kg)</t>
        </is>
      </c>
      <c r="T4" s="60" t="inlineStr">
        <is>
          <t>SD420 (kg)</t>
        </is>
      </c>
    </row>
    <row r="5" ht="15" customHeight="1" s="48">
      <c r="A5" s="67" t="n">
        <v>1</v>
      </c>
      <c r="B5" s="70" t="n"/>
      <c r="C5" s="70" t="n"/>
      <c r="D5" s="74" t="n"/>
      <c r="E5" s="70" t="n"/>
      <c r="F5" s="70" t="n"/>
      <c r="G5" s="70" t="n"/>
      <c r="H5" s="70" t="n"/>
      <c r="I5" s="70" t="n"/>
      <c r="J5" s="70" t="n"/>
      <c r="K5" s="74" t="n"/>
      <c r="L5" s="70" t="n"/>
      <c r="M5" s="75">
        <f>IF(AND(F5&lt;&gt;"",G5&lt;&gt;"",H5&lt;&gt;""),SQRT((F5*G5)^2+(F5*H5)^2)/1000,0)</f>
        <v/>
      </c>
      <c r="N5" s="75">
        <f>IF(AND(M5&gt;0,E5&lt;&gt;"",I5&lt;&gt;"",J5&lt;&gt;""),(M5*E5/1000*I5/1000+F5*G5*H5*E5/2/1000000000)*J5,0)</f>
        <v/>
      </c>
      <c r="O5" s="75">
        <f>IF(AND(K5&lt;&gt;"",L5&lt;&gt;"",M5&gt;0,E5&lt;&gt;"",J5&lt;&gt;""),VLOOKUP(K5,'1-專案資訊'!A25:I33,4,0)*(M5+2*VLOOKUP(K5,'1-專案資訊'!A25:I33,8,0)/100)*(E5/L5)*J5,0)</f>
        <v/>
      </c>
      <c r="P5" s="75">
        <f>IF(AND(M5&gt;0,E5&lt;&gt;"",J5&lt;&gt;""),0.56/0.2*M5*(E5/1000)*J5,0)</f>
        <v/>
      </c>
      <c r="Q5" s="75">
        <f>IF(AND(M5&gt;0,E5&lt;&gt;"",J5&lt;&gt;""),M5*E5/1000*J5,0)</f>
        <v/>
      </c>
      <c r="R5" s="75">
        <f>IF(AND(F5&lt;&gt;"",G5&lt;&gt;"",H5&lt;&gt;"",E5&lt;&gt;"",J5&lt;&gt;""),F5*(H5+G5)*E5/1000000*J5,0)</f>
        <v/>
      </c>
      <c r="S5" s="75">
        <f>IF(OR(K5="#3 (D10)",K5="#4 (D13)",K5="#5 (D16)"),O5+P5,0)</f>
        <v/>
      </c>
      <c r="T5" s="75">
        <f>IF(AND(K5&lt;&gt;"",K5&lt;&gt;"#3 (D10)",K5&lt;&gt;"#4 (D13)",K5&lt;&gt;"#5 (D16)"),O5+P5,0)</f>
        <v/>
      </c>
    </row>
    <row r="6" ht="15" customHeight="1" s="48">
      <c r="A6" s="67" t="n">
        <v>2</v>
      </c>
      <c r="B6" s="70" t="n"/>
      <c r="C6" s="70" t="n"/>
      <c r="D6" s="74" t="n"/>
      <c r="E6" s="70" t="n"/>
      <c r="F6" s="70" t="n"/>
      <c r="G6" s="70" t="n"/>
      <c r="H6" s="70" t="n"/>
      <c r="I6" s="70" t="n"/>
      <c r="J6" s="70" t="n"/>
      <c r="K6" s="74" t="n"/>
      <c r="L6" s="70" t="n"/>
      <c r="M6" s="75">
        <f>IF(AND(F6&lt;&gt;"",G6&lt;&gt;"",H6&lt;&gt;""),SQRT((F6*G6)^2+(F6*H6)^2)/1000,0)</f>
        <v/>
      </c>
      <c r="N6" s="75">
        <f>IF(AND(M6&gt;0,E6&lt;&gt;"",I6&lt;&gt;"",J6&lt;&gt;""),(M6*E6/1000*I6/1000+F6*G6*H6*E6/2/1000000000)*J6,0)</f>
        <v/>
      </c>
      <c r="O6" s="75">
        <f>IF(AND(K6&lt;&gt;"",L6&lt;&gt;"",M6&gt;0,E6&lt;&gt;"",J6&lt;&gt;""),VLOOKUP(K6,'1-專案資訊'!A25:I33,4,0)*(M6+2*VLOOKUP(K6,'1-專案資訊'!A25:I33,8,0)/100)*(E6/L6)*J6,0)</f>
        <v/>
      </c>
      <c r="P6" s="75">
        <f>IF(AND(M6&gt;0,E6&lt;&gt;"",J6&lt;&gt;""),0.56/0.2*M6*(E6/1000)*J6,0)</f>
        <v/>
      </c>
      <c r="Q6" s="75">
        <f>IF(AND(M6&gt;0,E6&lt;&gt;"",J6&lt;&gt;""),M6*E6/1000*J6,0)</f>
        <v/>
      </c>
      <c r="R6" s="75">
        <f>IF(AND(F6&lt;&gt;"",G6&lt;&gt;"",H6&lt;&gt;"",E6&lt;&gt;"",J6&lt;&gt;""),F6*(H6+G6)*E6/1000000*J6,0)</f>
        <v/>
      </c>
      <c r="S6" s="75">
        <f>IF(OR(K6="#3 (D10)",K6="#4 (D13)",K6="#5 (D16)"),O6+P6,0)</f>
        <v/>
      </c>
      <c r="T6" s="75">
        <f>IF(AND(K6&lt;&gt;"",K6&lt;&gt;"#3 (D10)",K6&lt;&gt;"#4 (D13)",K6&lt;&gt;"#5 (D16)"),O6+P6,0)</f>
        <v/>
      </c>
    </row>
    <row r="7" ht="15" customHeight="1" s="48">
      <c r="A7" s="67" t="n">
        <v>3</v>
      </c>
      <c r="B7" s="70" t="n"/>
      <c r="C7" s="70" t="n"/>
      <c r="D7" s="74" t="n"/>
      <c r="E7" s="70" t="n"/>
      <c r="F7" s="70" t="n"/>
      <c r="G7" s="70" t="n"/>
      <c r="H7" s="70" t="n"/>
      <c r="I7" s="70" t="n"/>
      <c r="J7" s="70" t="n"/>
      <c r="K7" s="74" t="n"/>
      <c r="L7" s="70" t="n"/>
      <c r="M7" s="75">
        <f>IF(AND(F7&lt;&gt;"",G7&lt;&gt;"",H7&lt;&gt;""),SQRT((F7*G7)^2+(F7*H7)^2)/1000,0)</f>
        <v/>
      </c>
      <c r="N7" s="75">
        <f>IF(AND(M7&gt;0,E7&lt;&gt;"",I7&lt;&gt;"",J7&lt;&gt;""),(M7*E7/1000*I7/1000+F7*G7*H7*E7/2/1000000000)*J7,0)</f>
        <v/>
      </c>
      <c r="O7" s="75">
        <f>IF(AND(K7&lt;&gt;"",L7&lt;&gt;"",M7&gt;0,E7&lt;&gt;"",J7&lt;&gt;""),VLOOKUP(K7,'1-專案資訊'!A25:I33,4,0)*(M7+2*VLOOKUP(K7,'1-專案資訊'!A25:I33,8,0)/100)*(E7/L7)*J7,0)</f>
        <v/>
      </c>
      <c r="P7" s="75">
        <f>IF(AND(M7&gt;0,E7&lt;&gt;"",J7&lt;&gt;""),0.56/0.2*M7*(E7/1000)*J7,0)</f>
        <v/>
      </c>
      <c r="Q7" s="75">
        <f>IF(AND(M7&gt;0,E7&lt;&gt;"",J7&lt;&gt;""),M7*E7/1000*J7,0)</f>
        <v/>
      </c>
      <c r="R7" s="75">
        <f>IF(AND(F7&lt;&gt;"",G7&lt;&gt;"",H7&lt;&gt;"",E7&lt;&gt;"",J7&lt;&gt;""),F7*(H7+G7)*E7/1000000*J7,0)</f>
        <v/>
      </c>
      <c r="S7" s="75">
        <f>IF(OR(K7="#3 (D10)",K7="#4 (D13)",K7="#5 (D16)"),O7+P7,0)</f>
        <v/>
      </c>
      <c r="T7" s="75">
        <f>IF(AND(K7&lt;&gt;"",K7&lt;&gt;"#3 (D10)",K7&lt;&gt;"#4 (D13)",K7&lt;&gt;"#5 (D16)"),O7+P7,0)</f>
        <v/>
      </c>
    </row>
    <row r="8" ht="15" customHeight="1" s="48">
      <c r="A8" s="67" t="n">
        <v>4</v>
      </c>
      <c r="B8" s="70" t="n"/>
      <c r="C8" s="70" t="n"/>
      <c r="D8" s="74" t="n"/>
      <c r="E8" s="70" t="n"/>
      <c r="F8" s="70" t="n"/>
      <c r="G8" s="70" t="n"/>
      <c r="H8" s="70" t="n"/>
      <c r="I8" s="70" t="n"/>
      <c r="J8" s="70" t="n"/>
      <c r="K8" s="74" t="n"/>
      <c r="L8" s="70" t="n"/>
      <c r="M8" s="75">
        <f>IF(AND(F8&lt;&gt;"",G8&lt;&gt;"",H8&lt;&gt;""),SQRT((F8*G8)^2+(F8*H8)^2)/1000,0)</f>
        <v/>
      </c>
      <c r="N8" s="75">
        <f>IF(AND(M8&gt;0,E8&lt;&gt;"",I8&lt;&gt;"",J8&lt;&gt;""),(M8*E8/1000*I8/1000+F8*G8*H8*E8/2/1000000000)*J8,0)</f>
        <v/>
      </c>
      <c r="O8" s="75">
        <f>IF(AND(K8&lt;&gt;"",L8&lt;&gt;"",M8&gt;0,E8&lt;&gt;"",J8&lt;&gt;""),VLOOKUP(K8,'1-專案資訊'!A25:I33,4,0)*(M8+2*VLOOKUP(K8,'1-專案資訊'!A25:I33,8,0)/100)*(E8/L8)*J8,0)</f>
        <v/>
      </c>
      <c r="P8" s="75">
        <f>IF(AND(M8&gt;0,E8&lt;&gt;"",J8&lt;&gt;""),0.56/0.2*M8*(E8/1000)*J8,0)</f>
        <v/>
      </c>
      <c r="Q8" s="75">
        <f>IF(AND(M8&gt;0,E8&lt;&gt;"",J8&lt;&gt;""),M8*E8/1000*J8,0)</f>
        <v/>
      </c>
      <c r="R8" s="75">
        <f>IF(AND(F8&lt;&gt;"",G8&lt;&gt;"",H8&lt;&gt;"",E8&lt;&gt;"",J8&lt;&gt;""),F8*(H8+G8)*E8/1000000*J8,0)</f>
        <v/>
      </c>
      <c r="S8" s="75">
        <f>IF(OR(K8="#3 (D10)",K8="#4 (D13)",K8="#5 (D16)"),O8+P8,0)</f>
        <v/>
      </c>
      <c r="T8" s="75">
        <f>IF(AND(K8&lt;&gt;"",K8&lt;&gt;"#3 (D10)",K8&lt;&gt;"#4 (D13)",K8&lt;&gt;"#5 (D16)"),O8+P8,0)</f>
        <v/>
      </c>
    </row>
    <row r="9" ht="15" customHeight="1" s="48">
      <c r="A9" s="67" t="n">
        <v>5</v>
      </c>
      <c r="B9" s="70" t="n"/>
      <c r="C9" s="70" t="n"/>
      <c r="D9" s="74" t="n"/>
      <c r="E9" s="70" t="n"/>
      <c r="F9" s="70" t="n"/>
      <c r="G9" s="70" t="n"/>
      <c r="H9" s="70" t="n"/>
      <c r="I9" s="70" t="n"/>
      <c r="J9" s="70" t="n"/>
      <c r="K9" s="74" t="n"/>
      <c r="L9" s="70" t="n"/>
      <c r="M9" s="75">
        <f>IF(AND(F9&lt;&gt;"",G9&lt;&gt;"",H9&lt;&gt;""),SQRT((F9*G9)^2+(F9*H9)^2)/1000,0)</f>
        <v/>
      </c>
      <c r="N9" s="75">
        <f>IF(AND(M9&gt;0,E9&lt;&gt;"",I9&lt;&gt;"",J9&lt;&gt;""),(M9*E9/1000*I9/1000+F9*G9*H9*E9/2/1000000000)*J9,0)</f>
        <v/>
      </c>
      <c r="O9" s="75">
        <f>IF(AND(K9&lt;&gt;"",L9&lt;&gt;"",M9&gt;0,E9&lt;&gt;"",J9&lt;&gt;""),VLOOKUP(K9,'1-專案資訊'!A25:I33,4,0)*(M9+2*VLOOKUP(K9,'1-專案資訊'!A25:I33,8,0)/100)*(E9/L9)*J9,0)</f>
        <v/>
      </c>
      <c r="P9" s="75">
        <f>IF(AND(M9&gt;0,E9&lt;&gt;"",J9&lt;&gt;""),0.56/0.2*M9*(E9/1000)*J9,0)</f>
        <v/>
      </c>
      <c r="Q9" s="75">
        <f>IF(AND(M9&gt;0,E9&lt;&gt;"",J9&lt;&gt;""),M9*E9/1000*J9,0)</f>
        <v/>
      </c>
      <c r="R9" s="75">
        <f>IF(AND(F9&lt;&gt;"",G9&lt;&gt;"",H9&lt;&gt;"",E9&lt;&gt;"",J9&lt;&gt;""),F9*(H9+G9)*E9/1000000*J9,0)</f>
        <v/>
      </c>
      <c r="S9" s="75">
        <f>IF(OR(K9="#3 (D10)",K9="#4 (D13)",K9="#5 (D16)"),O9+P9,0)</f>
        <v/>
      </c>
      <c r="T9" s="75">
        <f>IF(AND(K9&lt;&gt;"",K9&lt;&gt;"#3 (D10)",K9&lt;&gt;"#4 (D13)",K9&lt;&gt;"#5 (D16)"),O9+P9,0)</f>
        <v/>
      </c>
    </row>
    <row r="10" ht="15" customHeight="1" s="48">
      <c r="A10" s="67" t="n">
        <v>6</v>
      </c>
      <c r="B10" s="70" t="n"/>
      <c r="C10" s="70" t="n"/>
      <c r="D10" s="74" t="n"/>
      <c r="E10" s="70" t="n"/>
      <c r="F10" s="70" t="n"/>
      <c r="G10" s="70" t="n"/>
      <c r="H10" s="70" t="n"/>
      <c r="I10" s="70" t="n"/>
      <c r="J10" s="70" t="n"/>
      <c r="K10" s="74" t="n"/>
      <c r="L10" s="70" t="n"/>
      <c r="M10" s="75">
        <f>IF(AND(F10&lt;&gt;"",G10&lt;&gt;"",H10&lt;&gt;""),SQRT((F10*G10)^2+(F10*H10)^2)/1000,0)</f>
        <v/>
      </c>
      <c r="N10" s="75">
        <f>IF(AND(M10&gt;0,E10&lt;&gt;"",I10&lt;&gt;"",J10&lt;&gt;""),(M10*E10/1000*I10/1000+F10*G10*H10*E10/2/1000000000)*J10,0)</f>
        <v/>
      </c>
      <c r="O10" s="75">
        <f>IF(AND(K10&lt;&gt;"",L10&lt;&gt;"",M10&gt;0,E10&lt;&gt;"",J10&lt;&gt;""),VLOOKUP(K10,'1-專案資訊'!A25:I33,4,0)*(M10+2*VLOOKUP(K10,'1-專案資訊'!A25:I33,8,0)/100)*(E10/L10)*J10,0)</f>
        <v/>
      </c>
      <c r="P10" s="75">
        <f>IF(AND(M10&gt;0,E10&lt;&gt;"",J10&lt;&gt;""),0.56/0.2*M10*(E10/1000)*J10,0)</f>
        <v/>
      </c>
      <c r="Q10" s="75">
        <f>IF(AND(M10&gt;0,E10&lt;&gt;"",J10&lt;&gt;""),M10*E10/1000*J10,0)</f>
        <v/>
      </c>
      <c r="R10" s="75">
        <f>IF(AND(F10&lt;&gt;"",G10&lt;&gt;"",H10&lt;&gt;"",E10&lt;&gt;"",J10&lt;&gt;""),F10*(H10+G10)*E10/1000000*J10,0)</f>
        <v/>
      </c>
      <c r="S10" s="75">
        <f>IF(OR(K10="#3 (D10)",K10="#4 (D13)",K10="#5 (D16)"),O10+P10,0)</f>
        <v/>
      </c>
      <c r="T10" s="75">
        <f>IF(AND(K10&lt;&gt;"",K10&lt;&gt;"#3 (D10)",K10&lt;&gt;"#4 (D13)",K10&lt;&gt;"#5 (D16)"),O10+P10,0)</f>
        <v/>
      </c>
    </row>
    <row r="11" ht="15" customHeight="1" s="48">
      <c r="A11" s="67" t="n">
        <v>7</v>
      </c>
      <c r="B11" s="70" t="n"/>
      <c r="C11" s="70" t="n"/>
      <c r="D11" s="74" t="n"/>
      <c r="E11" s="70" t="n"/>
      <c r="F11" s="70" t="n"/>
      <c r="G11" s="70" t="n"/>
      <c r="H11" s="70" t="n"/>
      <c r="I11" s="70" t="n"/>
      <c r="J11" s="70" t="n"/>
      <c r="K11" s="74" t="n"/>
      <c r="L11" s="70" t="n"/>
      <c r="M11" s="75">
        <f>IF(AND(F11&lt;&gt;"",G11&lt;&gt;"",H11&lt;&gt;""),SQRT((F11*G11)^2+(F11*H11)^2)/1000,0)</f>
        <v/>
      </c>
      <c r="N11" s="75">
        <f>IF(AND(M11&gt;0,E11&lt;&gt;"",I11&lt;&gt;"",J11&lt;&gt;""),(M11*E11/1000*I11/1000+F11*G11*H11*E11/2/1000000000)*J11,0)</f>
        <v/>
      </c>
      <c r="O11" s="75">
        <f>IF(AND(K11&lt;&gt;"",L11&lt;&gt;"",M11&gt;0,E11&lt;&gt;"",J11&lt;&gt;""),VLOOKUP(K11,'1-專案資訊'!A25:I33,4,0)*(M11+2*VLOOKUP(K11,'1-專案資訊'!A25:I33,8,0)/100)*(E11/L11)*J11,0)</f>
        <v/>
      </c>
      <c r="P11" s="75">
        <f>IF(AND(M11&gt;0,E11&lt;&gt;"",J11&lt;&gt;""),0.56/0.2*M11*(E11/1000)*J11,0)</f>
        <v/>
      </c>
      <c r="Q11" s="75">
        <f>IF(AND(M11&gt;0,E11&lt;&gt;"",J11&lt;&gt;""),M11*E11/1000*J11,0)</f>
        <v/>
      </c>
      <c r="R11" s="75">
        <f>IF(AND(F11&lt;&gt;"",G11&lt;&gt;"",H11&lt;&gt;"",E11&lt;&gt;"",J11&lt;&gt;""),F11*(H11+G11)*E11/1000000*J11,0)</f>
        <v/>
      </c>
      <c r="S11" s="75">
        <f>IF(OR(K11="#3 (D10)",K11="#4 (D13)",K11="#5 (D16)"),O11+P11,0)</f>
        <v/>
      </c>
      <c r="T11" s="75">
        <f>IF(AND(K11&lt;&gt;"",K11&lt;&gt;"#3 (D10)",K11&lt;&gt;"#4 (D13)",K11&lt;&gt;"#5 (D16)"),O11+P11,0)</f>
        <v/>
      </c>
    </row>
    <row r="12" ht="15" customHeight="1" s="48">
      <c r="A12" s="67" t="n">
        <v>8</v>
      </c>
      <c r="B12" s="70" t="n"/>
      <c r="C12" s="70" t="n"/>
      <c r="D12" s="74" t="n"/>
      <c r="E12" s="70" t="n"/>
      <c r="F12" s="70" t="n"/>
      <c r="G12" s="70" t="n"/>
      <c r="H12" s="70" t="n"/>
      <c r="I12" s="70" t="n"/>
      <c r="J12" s="70" t="n"/>
      <c r="K12" s="74" t="n"/>
      <c r="L12" s="70" t="n"/>
      <c r="M12" s="75">
        <f>IF(AND(F12&lt;&gt;"",G12&lt;&gt;"",H12&lt;&gt;""),SQRT((F12*G12)^2+(F12*H12)^2)/1000,0)</f>
        <v/>
      </c>
      <c r="N12" s="75">
        <f>IF(AND(M12&gt;0,E12&lt;&gt;"",I12&lt;&gt;"",J12&lt;&gt;""),(M12*E12/1000*I12/1000+F12*G12*H12*E12/2/1000000000)*J12,0)</f>
        <v/>
      </c>
      <c r="O12" s="75">
        <f>IF(AND(K12&lt;&gt;"",L12&lt;&gt;"",M12&gt;0,E12&lt;&gt;"",J12&lt;&gt;""),VLOOKUP(K12,'1-專案資訊'!A25:I33,4,0)*(M12+2*VLOOKUP(K12,'1-專案資訊'!A25:I33,8,0)/100)*(E12/L12)*J12,0)</f>
        <v/>
      </c>
      <c r="P12" s="75">
        <f>IF(AND(M12&gt;0,E12&lt;&gt;"",J12&lt;&gt;""),0.56/0.2*M12*(E12/1000)*J12,0)</f>
        <v/>
      </c>
      <c r="Q12" s="75">
        <f>IF(AND(M12&gt;0,E12&lt;&gt;"",J12&lt;&gt;""),M12*E12/1000*J12,0)</f>
        <v/>
      </c>
      <c r="R12" s="75">
        <f>IF(AND(F12&lt;&gt;"",G12&lt;&gt;"",H12&lt;&gt;"",E12&lt;&gt;"",J12&lt;&gt;""),F12*(H12+G12)*E12/1000000*J12,0)</f>
        <v/>
      </c>
      <c r="S12" s="75">
        <f>IF(OR(K12="#3 (D10)",K12="#4 (D13)",K12="#5 (D16)"),O12+P12,0)</f>
        <v/>
      </c>
      <c r="T12" s="75">
        <f>IF(AND(K12&lt;&gt;"",K12&lt;&gt;"#3 (D10)",K12&lt;&gt;"#4 (D13)",K12&lt;&gt;"#5 (D16)"),O12+P12,0)</f>
        <v/>
      </c>
    </row>
    <row r="13" ht="15" customHeight="1" s="48">
      <c r="A13" s="67" t="n">
        <v>9</v>
      </c>
      <c r="B13" s="70" t="n"/>
      <c r="C13" s="70" t="n"/>
      <c r="D13" s="74" t="n"/>
      <c r="E13" s="70" t="n"/>
      <c r="F13" s="70" t="n"/>
      <c r="G13" s="70" t="n"/>
      <c r="H13" s="70" t="n"/>
      <c r="I13" s="70" t="n"/>
      <c r="J13" s="70" t="n"/>
      <c r="K13" s="74" t="n"/>
      <c r="L13" s="70" t="n"/>
      <c r="M13" s="75">
        <f>IF(AND(F13&lt;&gt;"",G13&lt;&gt;"",H13&lt;&gt;""),SQRT((F13*G13)^2+(F13*H13)^2)/1000,0)</f>
        <v/>
      </c>
      <c r="N13" s="75">
        <f>IF(AND(M13&gt;0,E13&lt;&gt;"",I13&lt;&gt;"",J13&lt;&gt;""),(M13*E13/1000*I13/1000+F13*G13*H13*E13/2/1000000000)*J13,0)</f>
        <v/>
      </c>
      <c r="O13" s="75">
        <f>IF(AND(K13&lt;&gt;"",L13&lt;&gt;"",M13&gt;0,E13&lt;&gt;"",J13&lt;&gt;""),VLOOKUP(K13,'1-專案資訊'!A25:I33,4,0)*(M13+2*VLOOKUP(K13,'1-專案資訊'!A25:I33,8,0)/100)*(E13/L13)*J13,0)</f>
        <v/>
      </c>
      <c r="P13" s="75">
        <f>IF(AND(M13&gt;0,E13&lt;&gt;"",J13&lt;&gt;""),0.56/0.2*M13*(E13/1000)*J13,0)</f>
        <v/>
      </c>
      <c r="Q13" s="75">
        <f>IF(AND(M13&gt;0,E13&lt;&gt;"",J13&lt;&gt;""),M13*E13/1000*J13,0)</f>
        <v/>
      </c>
      <c r="R13" s="75">
        <f>IF(AND(F13&lt;&gt;"",G13&lt;&gt;"",H13&lt;&gt;"",E13&lt;&gt;"",J13&lt;&gt;""),F13*(H13+G13)*E13/1000000*J13,0)</f>
        <v/>
      </c>
      <c r="S13" s="75">
        <f>IF(OR(K13="#3 (D10)",K13="#4 (D13)",K13="#5 (D16)"),O13+P13,0)</f>
        <v/>
      </c>
      <c r="T13" s="75">
        <f>IF(AND(K13&lt;&gt;"",K13&lt;&gt;"#3 (D10)",K13&lt;&gt;"#4 (D13)",K13&lt;&gt;"#5 (D16)"),O13+P13,0)</f>
        <v/>
      </c>
    </row>
    <row r="14" ht="15" customHeight="1" s="48">
      <c r="A14" s="67" t="n">
        <v>10</v>
      </c>
      <c r="B14" s="70" t="n"/>
      <c r="C14" s="70" t="n"/>
      <c r="D14" s="74" t="n"/>
      <c r="E14" s="70" t="n"/>
      <c r="F14" s="70" t="n"/>
      <c r="G14" s="70" t="n"/>
      <c r="H14" s="70" t="n"/>
      <c r="I14" s="70" t="n"/>
      <c r="J14" s="70" t="n"/>
      <c r="K14" s="74" t="n"/>
      <c r="L14" s="70" t="n"/>
      <c r="M14" s="75">
        <f>IF(AND(F14&lt;&gt;"",G14&lt;&gt;"",H14&lt;&gt;""),SQRT((F14*G14)^2+(F14*H14)^2)/1000,0)</f>
        <v/>
      </c>
      <c r="N14" s="75">
        <f>IF(AND(M14&gt;0,E14&lt;&gt;"",I14&lt;&gt;"",J14&lt;&gt;""),(M14*E14/1000*I14/1000+F14*G14*H14*E14/2/1000000000)*J14,0)</f>
        <v/>
      </c>
      <c r="O14" s="75">
        <f>IF(AND(K14&lt;&gt;"",L14&lt;&gt;"",M14&gt;0,E14&lt;&gt;"",J14&lt;&gt;""),VLOOKUP(K14,'1-專案資訊'!A25:I33,4,0)*(M14+2*VLOOKUP(K14,'1-專案資訊'!A25:I33,8,0)/100)*(E14/L14)*J14,0)</f>
        <v/>
      </c>
      <c r="P14" s="75">
        <f>IF(AND(M14&gt;0,E14&lt;&gt;"",J14&lt;&gt;""),0.56/0.2*M14*(E14/1000)*J14,0)</f>
        <v/>
      </c>
      <c r="Q14" s="75">
        <f>IF(AND(M14&gt;0,E14&lt;&gt;"",J14&lt;&gt;""),M14*E14/1000*J14,0)</f>
        <v/>
      </c>
      <c r="R14" s="75">
        <f>IF(AND(F14&lt;&gt;"",G14&lt;&gt;"",H14&lt;&gt;"",E14&lt;&gt;"",J14&lt;&gt;""),F14*(H14+G14)*E14/1000000*J14,0)</f>
        <v/>
      </c>
      <c r="S14" s="75">
        <f>IF(OR(K14="#3 (D10)",K14="#4 (D13)",K14="#5 (D16)"),O14+P14,0)</f>
        <v/>
      </c>
      <c r="T14" s="75">
        <f>IF(AND(K14&lt;&gt;"",K14&lt;&gt;"#3 (D10)",K14&lt;&gt;"#4 (D13)",K14&lt;&gt;"#5 (D16)"),O14+P14,0)</f>
        <v/>
      </c>
    </row>
    <row r="15" ht="15" customHeight="1" s="48">
      <c r="A15" s="67" t="n">
        <v>11</v>
      </c>
      <c r="B15" s="70" t="n"/>
      <c r="C15" s="70" t="n"/>
      <c r="D15" s="74" t="n"/>
      <c r="E15" s="70" t="n"/>
      <c r="F15" s="70" t="n"/>
      <c r="G15" s="70" t="n"/>
      <c r="H15" s="70" t="n"/>
      <c r="I15" s="70" t="n"/>
      <c r="J15" s="70" t="n"/>
      <c r="K15" s="74" t="n"/>
      <c r="L15" s="70" t="n"/>
      <c r="M15" s="75">
        <f>IF(AND(F15&lt;&gt;"",G15&lt;&gt;"",H15&lt;&gt;""),SQRT((F15*G15)^2+(F15*H15)^2)/1000,0)</f>
        <v/>
      </c>
      <c r="N15" s="75">
        <f>IF(AND(M15&gt;0,E15&lt;&gt;"",I15&lt;&gt;"",J15&lt;&gt;""),(M15*E15/1000*I15/1000+F15*G15*H15*E15/2/1000000000)*J15,0)</f>
        <v/>
      </c>
      <c r="O15" s="75">
        <f>IF(AND(K15&lt;&gt;"",L15&lt;&gt;"",M15&gt;0,E15&lt;&gt;"",J15&lt;&gt;""),VLOOKUP(K15,'1-專案資訊'!A25:I33,4,0)*(M15+2*VLOOKUP(K15,'1-專案資訊'!A25:I33,8,0)/100)*(E15/L15)*J15,0)</f>
        <v/>
      </c>
      <c r="P15" s="75">
        <f>IF(AND(M15&gt;0,E15&lt;&gt;"",J15&lt;&gt;""),0.56/0.2*M15*(E15/1000)*J15,0)</f>
        <v/>
      </c>
      <c r="Q15" s="75">
        <f>IF(AND(M15&gt;0,E15&lt;&gt;"",J15&lt;&gt;""),M15*E15/1000*J15,0)</f>
        <v/>
      </c>
      <c r="R15" s="75">
        <f>IF(AND(F15&lt;&gt;"",G15&lt;&gt;"",H15&lt;&gt;"",E15&lt;&gt;"",J15&lt;&gt;""),F15*(H15+G15)*E15/1000000*J15,0)</f>
        <v/>
      </c>
      <c r="S15" s="75">
        <f>IF(OR(K15="#3 (D10)",K15="#4 (D13)",K15="#5 (D16)"),O15+P15,0)</f>
        <v/>
      </c>
      <c r="T15" s="75">
        <f>IF(AND(K15&lt;&gt;"",K15&lt;&gt;"#3 (D10)",K15&lt;&gt;"#4 (D13)",K15&lt;&gt;"#5 (D16)"),O15+P15,0)</f>
        <v/>
      </c>
    </row>
    <row r="16" ht="15" customHeight="1" s="48">
      <c r="A16" s="67" t="n">
        <v>12</v>
      </c>
      <c r="B16" s="70" t="n"/>
      <c r="C16" s="70" t="n"/>
      <c r="D16" s="74" t="n"/>
      <c r="E16" s="70" t="n"/>
      <c r="F16" s="70" t="n"/>
      <c r="G16" s="70" t="n"/>
      <c r="H16" s="70" t="n"/>
      <c r="I16" s="70" t="n"/>
      <c r="J16" s="70" t="n"/>
      <c r="K16" s="74" t="n"/>
      <c r="L16" s="70" t="n"/>
      <c r="M16" s="75">
        <f>IF(AND(F16&lt;&gt;"",G16&lt;&gt;"",H16&lt;&gt;""),SQRT((F16*G16)^2+(F16*H16)^2)/1000,0)</f>
        <v/>
      </c>
      <c r="N16" s="75">
        <f>IF(AND(M16&gt;0,E16&lt;&gt;"",I16&lt;&gt;"",J16&lt;&gt;""),(M16*E16/1000*I16/1000+F16*G16*H16*E16/2/1000000000)*J16,0)</f>
        <v/>
      </c>
      <c r="O16" s="75">
        <f>IF(AND(K16&lt;&gt;"",L16&lt;&gt;"",M16&gt;0,E16&lt;&gt;"",J16&lt;&gt;""),VLOOKUP(K16,'1-專案資訊'!A25:I33,4,0)*(M16+2*VLOOKUP(K16,'1-專案資訊'!A25:I33,8,0)/100)*(E16/L16)*J16,0)</f>
        <v/>
      </c>
      <c r="P16" s="75">
        <f>IF(AND(M16&gt;0,E16&lt;&gt;"",J16&lt;&gt;""),0.56/0.2*M16*(E16/1000)*J16,0)</f>
        <v/>
      </c>
      <c r="Q16" s="75">
        <f>IF(AND(M16&gt;0,E16&lt;&gt;"",J16&lt;&gt;""),M16*E16/1000*J16,0)</f>
        <v/>
      </c>
      <c r="R16" s="75">
        <f>IF(AND(F16&lt;&gt;"",G16&lt;&gt;"",H16&lt;&gt;"",E16&lt;&gt;"",J16&lt;&gt;""),F16*(H16+G16)*E16/1000000*J16,0)</f>
        <v/>
      </c>
      <c r="S16" s="75">
        <f>IF(OR(K16="#3 (D10)",K16="#4 (D13)",K16="#5 (D16)"),O16+P16,0)</f>
        <v/>
      </c>
      <c r="T16" s="75">
        <f>IF(AND(K16&lt;&gt;"",K16&lt;&gt;"#3 (D10)",K16&lt;&gt;"#4 (D13)",K16&lt;&gt;"#5 (D16)"),O16+P16,0)</f>
        <v/>
      </c>
    </row>
    <row r="17" ht="15" customHeight="1" s="48">
      <c r="A17" s="67" t="n">
        <v>13</v>
      </c>
      <c r="B17" s="70" t="n"/>
      <c r="C17" s="70" t="n"/>
      <c r="D17" s="74" t="n"/>
      <c r="E17" s="70" t="n"/>
      <c r="F17" s="70" t="n"/>
      <c r="G17" s="70" t="n"/>
      <c r="H17" s="70" t="n"/>
      <c r="I17" s="70" t="n"/>
      <c r="J17" s="70" t="n"/>
      <c r="K17" s="74" t="n"/>
      <c r="L17" s="70" t="n"/>
      <c r="M17" s="75">
        <f>IF(AND(F17&lt;&gt;"",G17&lt;&gt;"",H17&lt;&gt;""),SQRT((F17*G17)^2+(F17*H17)^2)/1000,0)</f>
        <v/>
      </c>
      <c r="N17" s="75">
        <f>IF(AND(M17&gt;0,E17&lt;&gt;"",I17&lt;&gt;"",J17&lt;&gt;""),(M17*E17/1000*I17/1000+F17*G17*H17*E17/2/1000000000)*J17,0)</f>
        <v/>
      </c>
      <c r="O17" s="75">
        <f>IF(AND(K17&lt;&gt;"",L17&lt;&gt;"",M17&gt;0,E17&lt;&gt;"",J17&lt;&gt;""),VLOOKUP(K17,'1-專案資訊'!A25:I33,4,0)*(M17+2*VLOOKUP(K17,'1-專案資訊'!A25:I33,8,0)/100)*(E17/L17)*J17,0)</f>
        <v/>
      </c>
      <c r="P17" s="75">
        <f>IF(AND(M17&gt;0,E17&lt;&gt;"",J17&lt;&gt;""),0.56/0.2*M17*(E17/1000)*J17,0)</f>
        <v/>
      </c>
      <c r="Q17" s="75">
        <f>IF(AND(M17&gt;0,E17&lt;&gt;"",J17&lt;&gt;""),M17*E17/1000*J17,0)</f>
        <v/>
      </c>
      <c r="R17" s="75">
        <f>IF(AND(F17&lt;&gt;"",G17&lt;&gt;"",H17&lt;&gt;"",E17&lt;&gt;"",J17&lt;&gt;""),F17*(H17+G17)*E17/1000000*J17,0)</f>
        <v/>
      </c>
      <c r="S17" s="75">
        <f>IF(OR(K17="#3 (D10)",K17="#4 (D13)",K17="#5 (D16)"),O17+P17,0)</f>
        <v/>
      </c>
      <c r="T17" s="75">
        <f>IF(AND(K17&lt;&gt;"",K17&lt;&gt;"#3 (D10)",K17&lt;&gt;"#4 (D13)",K17&lt;&gt;"#5 (D16)"),O17+P17,0)</f>
        <v/>
      </c>
    </row>
    <row r="18" ht="15" customHeight="1" s="48">
      <c r="A18" s="67" t="n">
        <v>14</v>
      </c>
      <c r="B18" s="70" t="n"/>
      <c r="C18" s="70" t="n"/>
      <c r="D18" s="74" t="n"/>
      <c r="E18" s="70" t="n"/>
      <c r="F18" s="70" t="n"/>
      <c r="G18" s="70" t="n"/>
      <c r="H18" s="70" t="n"/>
      <c r="I18" s="70" t="n"/>
      <c r="J18" s="70" t="n"/>
      <c r="K18" s="74" t="n"/>
      <c r="L18" s="70" t="n"/>
      <c r="M18" s="75">
        <f>IF(AND(F18&lt;&gt;"",G18&lt;&gt;"",H18&lt;&gt;""),SQRT((F18*G18)^2+(F18*H18)^2)/1000,0)</f>
        <v/>
      </c>
      <c r="N18" s="75">
        <f>IF(AND(M18&gt;0,E18&lt;&gt;"",I18&lt;&gt;"",J18&lt;&gt;""),(M18*E18/1000*I18/1000+F18*G18*H18*E18/2/1000000000)*J18,0)</f>
        <v/>
      </c>
      <c r="O18" s="75">
        <f>IF(AND(K18&lt;&gt;"",L18&lt;&gt;"",M18&gt;0,E18&lt;&gt;"",J18&lt;&gt;""),VLOOKUP(K18,'1-專案資訊'!A25:I33,4,0)*(M18+2*VLOOKUP(K18,'1-專案資訊'!A25:I33,8,0)/100)*(E18/L18)*J18,0)</f>
        <v/>
      </c>
      <c r="P18" s="75">
        <f>IF(AND(M18&gt;0,E18&lt;&gt;"",J18&lt;&gt;""),0.56/0.2*M18*(E18/1000)*J18,0)</f>
        <v/>
      </c>
      <c r="Q18" s="75">
        <f>IF(AND(M18&gt;0,E18&lt;&gt;"",J18&lt;&gt;""),M18*E18/1000*J18,0)</f>
        <v/>
      </c>
      <c r="R18" s="75">
        <f>IF(AND(F18&lt;&gt;"",G18&lt;&gt;"",H18&lt;&gt;"",E18&lt;&gt;"",J18&lt;&gt;""),F18*(H18+G18)*E18/1000000*J18,0)</f>
        <v/>
      </c>
      <c r="S18" s="75">
        <f>IF(OR(K18="#3 (D10)",K18="#4 (D13)",K18="#5 (D16)"),O18+P18,0)</f>
        <v/>
      </c>
      <c r="T18" s="75">
        <f>IF(AND(K18&lt;&gt;"",K18&lt;&gt;"#3 (D10)",K18&lt;&gt;"#4 (D13)",K18&lt;&gt;"#5 (D16)"),O18+P18,0)</f>
        <v/>
      </c>
    </row>
    <row r="19" ht="15" customHeight="1" s="48">
      <c r="A19" s="67" t="n">
        <v>15</v>
      </c>
      <c r="B19" s="70" t="n"/>
      <c r="C19" s="70" t="n"/>
      <c r="D19" s="74" t="n"/>
      <c r="E19" s="70" t="n"/>
      <c r="F19" s="70" t="n"/>
      <c r="G19" s="70" t="n"/>
      <c r="H19" s="70" t="n"/>
      <c r="I19" s="70" t="n"/>
      <c r="J19" s="70" t="n"/>
      <c r="K19" s="74" t="n"/>
      <c r="L19" s="70" t="n"/>
      <c r="M19" s="75">
        <f>IF(AND(F19&lt;&gt;"",G19&lt;&gt;"",H19&lt;&gt;""),SQRT((F19*G19)^2+(F19*H19)^2)/1000,0)</f>
        <v/>
      </c>
      <c r="N19" s="75">
        <f>IF(AND(M19&gt;0,E19&lt;&gt;"",I19&lt;&gt;"",J19&lt;&gt;""),(M19*E19/1000*I19/1000+F19*G19*H19*E19/2/1000000000)*J19,0)</f>
        <v/>
      </c>
      <c r="O19" s="75">
        <f>IF(AND(K19&lt;&gt;"",L19&lt;&gt;"",M19&gt;0,E19&lt;&gt;"",J19&lt;&gt;""),VLOOKUP(K19,'1-專案資訊'!A25:I33,4,0)*(M19+2*VLOOKUP(K19,'1-專案資訊'!A25:I33,8,0)/100)*(E19/L19)*J19,0)</f>
        <v/>
      </c>
      <c r="P19" s="75">
        <f>IF(AND(M19&gt;0,E19&lt;&gt;"",J19&lt;&gt;""),0.56/0.2*M19*(E19/1000)*J19,0)</f>
        <v/>
      </c>
      <c r="Q19" s="75">
        <f>IF(AND(M19&gt;0,E19&lt;&gt;"",J19&lt;&gt;""),M19*E19/1000*J19,0)</f>
        <v/>
      </c>
      <c r="R19" s="75">
        <f>IF(AND(F19&lt;&gt;"",G19&lt;&gt;"",H19&lt;&gt;"",E19&lt;&gt;"",J19&lt;&gt;""),F19*(H19+G19)*E19/1000000*J19,0)</f>
        <v/>
      </c>
      <c r="S19" s="75">
        <f>IF(OR(K19="#3 (D10)",K19="#4 (D13)",K19="#5 (D16)"),O19+P19,0)</f>
        <v/>
      </c>
      <c r="T19" s="75">
        <f>IF(AND(K19&lt;&gt;"",K19&lt;&gt;"#3 (D10)",K19&lt;&gt;"#4 (D13)",K19&lt;&gt;"#5 (D16)"),O19+P19,0)</f>
        <v/>
      </c>
    </row>
    <row r="20" ht="15" customHeight="1" s="48">
      <c r="A20" s="67" t="n">
        <v>16</v>
      </c>
      <c r="B20" s="70" t="n"/>
      <c r="C20" s="70" t="n"/>
      <c r="D20" s="74" t="n"/>
      <c r="E20" s="70" t="n"/>
      <c r="F20" s="70" t="n"/>
      <c r="G20" s="70" t="n"/>
      <c r="H20" s="70" t="n"/>
      <c r="I20" s="70" t="n"/>
      <c r="J20" s="70" t="n"/>
      <c r="K20" s="74" t="n"/>
      <c r="L20" s="70" t="n"/>
      <c r="M20" s="75">
        <f>IF(AND(F20&lt;&gt;"",G20&lt;&gt;"",H20&lt;&gt;""),SQRT((F20*G20)^2+(F20*H20)^2)/1000,0)</f>
        <v/>
      </c>
      <c r="N20" s="75">
        <f>IF(AND(M20&gt;0,E20&lt;&gt;"",I20&lt;&gt;"",J20&lt;&gt;""),(M20*E20/1000*I20/1000+F20*G20*H20*E20/2/1000000000)*J20,0)</f>
        <v/>
      </c>
      <c r="O20" s="75">
        <f>IF(AND(K20&lt;&gt;"",L20&lt;&gt;"",M20&gt;0,E20&lt;&gt;"",J20&lt;&gt;""),VLOOKUP(K20,'1-專案資訊'!A25:I33,4,0)*(M20+2*VLOOKUP(K20,'1-專案資訊'!A25:I33,8,0)/100)*(E20/L20)*J20,0)</f>
        <v/>
      </c>
      <c r="P20" s="75">
        <f>IF(AND(M20&gt;0,E20&lt;&gt;"",J20&lt;&gt;""),0.56/0.2*M20*(E20/1000)*J20,0)</f>
        <v/>
      </c>
      <c r="Q20" s="75">
        <f>IF(AND(M20&gt;0,E20&lt;&gt;"",J20&lt;&gt;""),M20*E20/1000*J20,0)</f>
        <v/>
      </c>
      <c r="R20" s="75">
        <f>IF(AND(F20&lt;&gt;"",G20&lt;&gt;"",H20&lt;&gt;"",E20&lt;&gt;"",J20&lt;&gt;""),F20*(H20+G20)*E20/1000000*J20,0)</f>
        <v/>
      </c>
      <c r="S20" s="75">
        <f>IF(OR(K20="#3 (D10)",K20="#4 (D13)",K20="#5 (D16)"),O20+P20,0)</f>
        <v/>
      </c>
      <c r="T20" s="75">
        <f>IF(AND(K20&lt;&gt;"",K20&lt;&gt;"#3 (D10)",K20&lt;&gt;"#4 (D13)",K20&lt;&gt;"#5 (D16)"),O20+P20,0)</f>
        <v/>
      </c>
    </row>
    <row r="21" ht="15" customHeight="1" s="48">
      <c r="A21" s="67" t="n">
        <v>17</v>
      </c>
      <c r="B21" s="70" t="n"/>
      <c r="C21" s="70" t="n"/>
      <c r="D21" s="74" t="n"/>
      <c r="E21" s="70" t="n"/>
      <c r="F21" s="70" t="n"/>
      <c r="G21" s="70" t="n"/>
      <c r="H21" s="70" t="n"/>
      <c r="I21" s="70" t="n"/>
      <c r="J21" s="70" t="n"/>
      <c r="K21" s="74" t="n"/>
      <c r="L21" s="70" t="n"/>
      <c r="M21" s="75">
        <f>IF(AND(F21&lt;&gt;"",G21&lt;&gt;"",H21&lt;&gt;""),SQRT((F21*G21)^2+(F21*H21)^2)/1000,0)</f>
        <v/>
      </c>
      <c r="N21" s="75">
        <f>IF(AND(M21&gt;0,E21&lt;&gt;"",I21&lt;&gt;"",J21&lt;&gt;""),(M21*E21/1000*I21/1000+F21*G21*H21*E21/2/1000000000)*J21,0)</f>
        <v/>
      </c>
      <c r="O21" s="75">
        <f>IF(AND(K21&lt;&gt;"",L21&lt;&gt;"",M21&gt;0,E21&lt;&gt;"",J21&lt;&gt;""),VLOOKUP(K21,'1-專案資訊'!A25:I33,4,0)*(M21+2*VLOOKUP(K21,'1-專案資訊'!A25:I33,8,0)/100)*(E21/L21)*J21,0)</f>
        <v/>
      </c>
      <c r="P21" s="75">
        <f>IF(AND(M21&gt;0,E21&lt;&gt;"",J21&lt;&gt;""),0.56/0.2*M21*(E21/1000)*J21,0)</f>
        <v/>
      </c>
      <c r="Q21" s="75">
        <f>IF(AND(M21&gt;0,E21&lt;&gt;"",J21&lt;&gt;""),M21*E21/1000*J21,0)</f>
        <v/>
      </c>
      <c r="R21" s="75">
        <f>IF(AND(F21&lt;&gt;"",G21&lt;&gt;"",H21&lt;&gt;"",E21&lt;&gt;"",J21&lt;&gt;""),F21*(H21+G21)*E21/1000000*J21,0)</f>
        <v/>
      </c>
      <c r="S21" s="75">
        <f>IF(OR(K21="#3 (D10)",K21="#4 (D13)",K21="#5 (D16)"),O21+P21,0)</f>
        <v/>
      </c>
      <c r="T21" s="75">
        <f>IF(AND(K21&lt;&gt;"",K21&lt;&gt;"#3 (D10)",K21&lt;&gt;"#4 (D13)",K21&lt;&gt;"#5 (D16)"),O21+P21,0)</f>
        <v/>
      </c>
    </row>
    <row r="22" ht="15" customHeight="1" s="48">
      <c r="A22" s="67" t="n">
        <v>18</v>
      </c>
      <c r="B22" s="70" t="n"/>
      <c r="C22" s="70" t="n"/>
      <c r="D22" s="74" t="n"/>
      <c r="E22" s="70" t="n"/>
      <c r="F22" s="70" t="n"/>
      <c r="G22" s="70" t="n"/>
      <c r="H22" s="70" t="n"/>
      <c r="I22" s="70" t="n"/>
      <c r="J22" s="70" t="n"/>
      <c r="K22" s="74" t="n"/>
      <c r="L22" s="70" t="n"/>
      <c r="M22" s="75">
        <f>IF(AND(F22&lt;&gt;"",G22&lt;&gt;"",H22&lt;&gt;""),SQRT((F22*G22)^2+(F22*H22)^2)/1000,0)</f>
        <v/>
      </c>
      <c r="N22" s="75">
        <f>IF(AND(M22&gt;0,E22&lt;&gt;"",I22&lt;&gt;"",J22&lt;&gt;""),(M22*E22/1000*I22/1000+F22*G22*H22*E22/2/1000000000)*J22,0)</f>
        <v/>
      </c>
      <c r="O22" s="75">
        <f>IF(AND(K22&lt;&gt;"",L22&lt;&gt;"",M22&gt;0,E22&lt;&gt;"",J22&lt;&gt;""),VLOOKUP(K22,'1-專案資訊'!A25:I33,4,0)*(M22+2*VLOOKUP(K22,'1-專案資訊'!A25:I33,8,0)/100)*(E22/L22)*J22,0)</f>
        <v/>
      </c>
      <c r="P22" s="75">
        <f>IF(AND(M22&gt;0,E22&lt;&gt;"",J22&lt;&gt;""),0.56/0.2*M22*(E22/1000)*J22,0)</f>
        <v/>
      </c>
      <c r="Q22" s="75">
        <f>IF(AND(M22&gt;0,E22&lt;&gt;"",J22&lt;&gt;""),M22*E22/1000*J22,0)</f>
        <v/>
      </c>
      <c r="R22" s="75">
        <f>IF(AND(F22&lt;&gt;"",G22&lt;&gt;"",H22&lt;&gt;"",E22&lt;&gt;"",J22&lt;&gt;""),F22*(H22+G22)*E22/1000000*J22,0)</f>
        <v/>
      </c>
      <c r="S22" s="75">
        <f>IF(OR(K22="#3 (D10)",K22="#4 (D13)",K22="#5 (D16)"),O22+P22,0)</f>
        <v/>
      </c>
      <c r="T22" s="75">
        <f>IF(AND(K22&lt;&gt;"",K22&lt;&gt;"#3 (D10)",K22&lt;&gt;"#4 (D13)",K22&lt;&gt;"#5 (D16)"),O22+P22,0)</f>
        <v/>
      </c>
    </row>
    <row r="23" ht="15" customHeight="1" s="48">
      <c r="A23" s="67" t="n">
        <v>19</v>
      </c>
      <c r="B23" s="70" t="n"/>
      <c r="C23" s="70" t="n"/>
      <c r="D23" s="74" t="n"/>
      <c r="E23" s="70" t="n"/>
      <c r="F23" s="70" t="n"/>
      <c r="G23" s="70" t="n"/>
      <c r="H23" s="70" t="n"/>
      <c r="I23" s="70" t="n"/>
      <c r="J23" s="70" t="n"/>
      <c r="K23" s="74" t="n"/>
      <c r="L23" s="70" t="n"/>
      <c r="M23" s="75">
        <f>IF(AND(F23&lt;&gt;"",G23&lt;&gt;"",H23&lt;&gt;""),SQRT((F23*G23)^2+(F23*H23)^2)/1000,0)</f>
        <v/>
      </c>
      <c r="N23" s="75">
        <f>IF(AND(M23&gt;0,E23&lt;&gt;"",I23&lt;&gt;"",J23&lt;&gt;""),(M23*E23/1000*I23/1000+F23*G23*H23*E23/2/1000000000)*J23,0)</f>
        <v/>
      </c>
      <c r="O23" s="75">
        <f>IF(AND(K23&lt;&gt;"",L23&lt;&gt;"",M23&gt;0,E23&lt;&gt;"",J23&lt;&gt;""),VLOOKUP(K23,'1-專案資訊'!A25:I33,4,0)*(M23+2*VLOOKUP(K23,'1-專案資訊'!A25:I33,8,0)/100)*(E23/L23)*J23,0)</f>
        <v/>
      </c>
      <c r="P23" s="75">
        <f>IF(AND(M23&gt;0,E23&lt;&gt;"",J23&lt;&gt;""),0.56/0.2*M23*(E23/1000)*J23,0)</f>
        <v/>
      </c>
      <c r="Q23" s="75">
        <f>IF(AND(M23&gt;0,E23&lt;&gt;"",J23&lt;&gt;""),M23*E23/1000*J23,0)</f>
        <v/>
      </c>
      <c r="R23" s="75">
        <f>IF(AND(F23&lt;&gt;"",G23&lt;&gt;"",H23&lt;&gt;"",E23&lt;&gt;"",J23&lt;&gt;""),F23*(H23+G23)*E23/1000000*J23,0)</f>
        <v/>
      </c>
      <c r="S23" s="75">
        <f>IF(OR(K23="#3 (D10)",K23="#4 (D13)",K23="#5 (D16)"),O23+P23,0)</f>
        <v/>
      </c>
      <c r="T23" s="75">
        <f>IF(AND(K23&lt;&gt;"",K23&lt;&gt;"#3 (D10)",K23&lt;&gt;"#4 (D13)",K23&lt;&gt;"#5 (D16)"),O23+P23,0)</f>
        <v/>
      </c>
    </row>
    <row r="24" ht="15" customHeight="1" s="48">
      <c r="A24" s="67" t="n">
        <v>20</v>
      </c>
      <c r="B24" s="70" t="n"/>
      <c r="C24" s="70" t="n"/>
      <c r="D24" s="74" t="n"/>
      <c r="E24" s="70" t="n"/>
      <c r="F24" s="70" t="n"/>
      <c r="G24" s="70" t="n"/>
      <c r="H24" s="70" t="n"/>
      <c r="I24" s="70" t="n"/>
      <c r="J24" s="70" t="n"/>
      <c r="K24" s="74" t="n"/>
      <c r="L24" s="70" t="n"/>
      <c r="M24" s="75">
        <f>IF(AND(F24&lt;&gt;"",G24&lt;&gt;"",H24&lt;&gt;""),SQRT((F24*G24)^2+(F24*H24)^2)/1000,0)</f>
        <v/>
      </c>
      <c r="N24" s="75">
        <f>IF(AND(M24&gt;0,E24&lt;&gt;"",I24&lt;&gt;"",J24&lt;&gt;""),(M24*E24/1000*I24/1000+F24*G24*H24*E24/2/1000000000)*J24,0)</f>
        <v/>
      </c>
      <c r="O24" s="75">
        <f>IF(AND(K24&lt;&gt;"",L24&lt;&gt;"",M24&gt;0,E24&lt;&gt;"",J24&lt;&gt;""),VLOOKUP(K24,'1-專案資訊'!A25:I33,4,0)*(M24+2*VLOOKUP(K24,'1-專案資訊'!A25:I33,8,0)/100)*(E24/L24)*J24,0)</f>
        <v/>
      </c>
      <c r="P24" s="75">
        <f>IF(AND(M24&gt;0,E24&lt;&gt;"",J24&lt;&gt;""),0.56/0.2*M24*(E24/1000)*J24,0)</f>
        <v/>
      </c>
      <c r="Q24" s="75">
        <f>IF(AND(M24&gt;0,E24&lt;&gt;"",J24&lt;&gt;""),M24*E24/1000*J24,0)</f>
        <v/>
      </c>
      <c r="R24" s="75">
        <f>IF(AND(F24&lt;&gt;"",G24&lt;&gt;"",H24&lt;&gt;"",E24&lt;&gt;"",J24&lt;&gt;""),F24*(H24+G24)*E24/1000000*J24,0)</f>
        <v/>
      </c>
      <c r="S24" s="75">
        <f>IF(OR(K24="#3 (D10)",K24="#4 (D13)",K24="#5 (D16)"),O24+P24,0)</f>
        <v/>
      </c>
      <c r="T24" s="75">
        <f>IF(AND(K24&lt;&gt;"",K24&lt;&gt;"#3 (D10)",K24&lt;&gt;"#4 (D13)",K24&lt;&gt;"#5 (D16)"),O24+P24,0)</f>
        <v/>
      </c>
    </row>
    <row r="25" ht="15" customHeight="1" s="48">
      <c r="A25" s="67" t="n">
        <v>21</v>
      </c>
      <c r="B25" s="70" t="n"/>
      <c r="C25" s="70" t="n"/>
      <c r="D25" s="74" t="n"/>
      <c r="E25" s="70" t="n"/>
      <c r="F25" s="70" t="n"/>
      <c r="G25" s="70" t="n"/>
      <c r="H25" s="70" t="n"/>
      <c r="I25" s="70" t="n"/>
      <c r="J25" s="70" t="n"/>
      <c r="K25" s="74" t="n"/>
      <c r="L25" s="70" t="n"/>
      <c r="M25" s="75">
        <f>IF(AND(F25&lt;&gt;"",G25&lt;&gt;"",H25&lt;&gt;""),SQRT((F25*G25)^2+(F25*H25)^2)/1000,0)</f>
        <v/>
      </c>
      <c r="N25" s="75">
        <f>IF(AND(M25&gt;0,E25&lt;&gt;"",I25&lt;&gt;"",J25&lt;&gt;""),(M25*E25/1000*I25/1000+F25*G25*H25*E25/2/1000000000)*J25,0)</f>
        <v/>
      </c>
      <c r="O25" s="75">
        <f>IF(AND(K25&lt;&gt;"",L25&lt;&gt;"",M25&gt;0,E25&lt;&gt;"",J25&lt;&gt;""),VLOOKUP(K25,'1-專案資訊'!A25:I33,4,0)*(M25+2*VLOOKUP(K25,'1-專案資訊'!A25:I33,8,0)/100)*(E25/L25)*J25,0)</f>
        <v/>
      </c>
      <c r="P25" s="75">
        <f>IF(AND(M25&gt;0,E25&lt;&gt;"",J25&lt;&gt;""),0.56/0.2*M25*(E25/1000)*J25,0)</f>
        <v/>
      </c>
      <c r="Q25" s="75">
        <f>IF(AND(M25&gt;0,E25&lt;&gt;"",J25&lt;&gt;""),M25*E25/1000*J25,0)</f>
        <v/>
      </c>
      <c r="R25" s="75">
        <f>IF(AND(F25&lt;&gt;"",G25&lt;&gt;"",H25&lt;&gt;"",E25&lt;&gt;"",J25&lt;&gt;""),F25*(H25+G25)*E25/1000000*J25,0)</f>
        <v/>
      </c>
      <c r="S25" s="75">
        <f>IF(OR(K25="#3 (D10)",K25="#4 (D13)",K25="#5 (D16)"),O25+P25,0)</f>
        <v/>
      </c>
      <c r="T25" s="75">
        <f>IF(AND(K25&lt;&gt;"",K25&lt;&gt;"#3 (D10)",K25&lt;&gt;"#4 (D13)",K25&lt;&gt;"#5 (D16)"),O25+P25,0)</f>
        <v/>
      </c>
    </row>
    <row r="26" ht="15" customHeight="1" s="48">
      <c r="A26" s="67" t="n">
        <v>22</v>
      </c>
      <c r="B26" s="70" t="n"/>
      <c r="C26" s="70" t="n"/>
      <c r="D26" s="74" t="n"/>
      <c r="E26" s="70" t="n"/>
      <c r="F26" s="70" t="n"/>
      <c r="G26" s="70" t="n"/>
      <c r="H26" s="70" t="n"/>
      <c r="I26" s="70" t="n"/>
      <c r="J26" s="70" t="n"/>
      <c r="K26" s="74" t="n"/>
      <c r="L26" s="70" t="n"/>
      <c r="M26" s="75">
        <f>IF(AND(F26&lt;&gt;"",G26&lt;&gt;"",H26&lt;&gt;""),SQRT((F26*G26)^2+(F26*H26)^2)/1000,0)</f>
        <v/>
      </c>
      <c r="N26" s="75">
        <f>IF(AND(M26&gt;0,E26&lt;&gt;"",I26&lt;&gt;"",J26&lt;&gt;""),(M26*E26/1000*I26/1000+F26*G26*H26*E26/2/1000000000)*J26,0)</f>
        <v/>
      </c>
      <c r="O26" s="75">
        <f>IF(AND(K26&lt;&gt;"",L26&lt;&gt;"",M26&gt;0,E26&lt;&gt;"",J26&lt;&gt;""),VLOOKUP(K26,'1-專案資訊'!A25:I33,4,0)*(M26+2*VLOOKUP(K26,'1-專案資訊'!A25:I33,8,0)/100)*(E26/L26)*J26,0)</f>
        <v/>
      </c>
      <c r="P26" s="75">
        <f>IF(AND(M26&gt;0,E26&lt;&gt;"",J26&lt;&gt;""),0.56/0.2*M26*(E26/1000)*J26,0)</f>
        <v/>
      </c>
      <c r="Q26" s="75">
        <f>IF(AND(M26&gt;0,E26&lt;&gt;"",J26&lt;&gt;""),M26*E26/1000*J26,0)</f>
        <v/>
      </c>
      <c r="R26" s="75">
        <f>IF(AND(F26&lt;&gt;"",G26&lt;&gt;"",H26&lt;&gt;"",E26&lt;&gt;"",J26&lt;&gt;""),F26*(H26+G26)*E26/1000000*J26,0)</f>
        <v/>
      </c>
      <c r="S26" s="75">
        <f>IF(OR(K26="#3 (D10)",K26="#4 (D13)",K26="#5 (D16)"),O26+P26,0)</f>
        <v/>
      </c>
      <c r="T26" s="75">
        <f>IF(AND(K26&lt;&gt;"",K26&lt;&gt;"#3 (D10)",K26&lt;&gt;"#4 (D13)",K26&lt;&gt;"#5 (D16)"),O26+P26,0)</f>
        <v/>
      </c>
    </row>
    <row r="27" ht="15" customHeight="1" s="48">
      <c r="A27" s="67" t="n">
        <v>23</v>
      </c>
      <c r="B27" s="70" t="n"/>
      <c r="C27" s="70" t="n"/>
      <c r="D27" s="74" t="n"/>
      <c r="E27" s="70" t="n"/>
      <c r="F27" s="70" t="n"/>
      <c r="G27" s="70" t="n"/>
      <c r="H27" s="70" t="n"/>
      <c r="I27" s="70" t="n"/>
      <c r="J27" s="70" t="n"/>
      <c r="K27" s="74" t="n"/>
      <c r="L27" s="70" t="n"/>
      <c r="M27" s="75">
        <f>IF(AND(F27&lt;&gt;"",G27&lt;&gt;"",H27&lt;&gt;""),SQRT((F27*G27)^2+(F27*H27)^2)/1000,0)</f>
        <v/>
      </c>
      <c r="N27" s="75">
        <f>IF(AND(M27&gt;0,E27&lt;&gt;"",I27&lt;&gt;"",J27&lt;&gt;""),(M27*E27/1000*I27/1000+F27*G27*H27*E27/2/1000000000)*J27,0)</f>
        <v/>
      </c>
      <c r="O27" s="75">
        <f>IF(AND(K27&lt;&gt;"",L27&lt;&gt;"",M27&gt;0,E27&lt;&gt;"",J27&lt;&gt;""),VLOOKUP(K27,'1-專案資訊'!A25:I33,4,0)*(M27+2*VLOOKUP(K27,'1-專案資訊'!A25:I33,8,0)/100)*(E27/L27)*J27,0)</f>
        <v/>
      </c>
      <c r="P27" s="75">
        <f>IF(AND(M27&gt;0,E27&lt;&gt;"",J27&lt;&gt;""),0.56/0.2*M27*(E27/1000)*J27,0)</f>
        <v/>
      </c>
      <c r="Q27" s="75">
        <f>IF(AND(M27&gt;0,E27&lt;&gt;"",J27&lt;&gt;""),M27*E27/1000*J27,0)</f>
        <v/>
      </c>
      <c r="R27" s="75">
        <f>IF(AND(F27&lt;&gt;"",G27&lt;&gt;"",H27&lt;&gt;"",E27&lt;&gt;"",J27&lt;&gt;""),F27*(H27+G27)*E27/1000000*J27,0)</f>
        <v/>
      </c>
      <c r="S27" s="75">
        <f>IF(OR(K27="#3 (D10)",K27="#4 (D13)",K27="#5 (D16)"),O27+P27,0)</f>
        <v/>
      </c>
      <c r="T27" s="75">
        <f>IF(AND(K27&lt;&gt;"",K27&lt;&gt;"#3 (D10)",K27&lt;&gt;"#4 (D13)",K27&lt;&gt;"#5 (D16)"),O27+P27,0)</f>
        <v/>
      </c>
    </row>
    <row r="28" ht="15" customHeight="1" s="48">
      <c r="A28" s="67" t="n">
        <v>24</v>
      </c>
      <c r="B28" s="70" t="n"/>
      <c r="C28" s="70" t="n"/>
      <c r="D28" s="74" t="n"/>
      <c r="E28" s="70" t="n"/>
      <c r="F28" s="70" t="n"/>
      <c r="G28" s="70" t="n"/>
      <c r="H28" s="70" t="n"/>
      <c r="I28" s="70" t="n"/>
      <c r="J28" s="70" t="n"/>
      <c r="K28" s="74" t="n"/>
      <c r="L28" s="70" t="n"/>
      <c r="M28" s="75">
        <f>IF(AND(F28&lt;&gt;"",G28&lt;&gt;"",H28&lt;&gt;""),SQRT((F28*G28)^2+(F28*H28)^2)/1000,0)</f>
        <v/>
      </c>
      <c r="N28" s="75">
        <f>IF(AND(M28&gt;0,E28&lt;&gt;"",I28&lt;&gt;"",J28&lt;&gt;""),(M28*E28/1000*I28/1000+F28*G28*H28*E28/2/1000000000)*J28,0)</f>
        <v/>
      </c>
      <c r="O28" s="75">
        <f>IF(AND(K28&lt;&gt;"",L28&lt;&gt;"",M28&gt;0,E28&lt;&gt;"",J28&lt;&gt;""),VLOOKUP(K28,'1-專案資訊'!A25:I33,4,0)*(M28+2*VLOOKUP(K28,'1-專案資訊'!A25:I33,8,0)/100)*(E28/L28)*J28,0)</f>
        <v/>
      </c>
      <c r="P28" s="75">
        <f>IF(AND(M28&gt;0,E28&lt;&gt;"",J28&lt;&gt;""),0.56/0.2*M28*(E28/1000)*J28,0)</f>
        <v/>
      </c>
      <c r="Q28" s="75">
        <f>IF(AND(M28&gt;0,E28&lt;&gt;"",J28&lt;&gt;""),M28*E28/1000*J28,0)</f>
        <v/>
      </c>
      <c r="R28" s="75">
        <f>IF(AND(F28&lt;&gt;"",G28&lt;&gt;"",H28&lt;&gt;"",E28&lt;&gt;"",J28&lt;&gt;""),F28*(H28+G28)*E28/1000000*J28,0)</f>
        <v/>
      </c>
      <c r="S28" s="75">
        <f>IF(OR(K28="#3 (D10)",K28="#4 (D13)",K28="#5 (D16)"),O28+P28,0)</f>
        <v/>
      </c>
      <c r="T28" s="75">
        <f>IF(AND(K28&lt;&gt;"",K28&lt;&gt;"#3 (D10)",K28&lt;&gt;"#4 (D13)",K28&lt;&gt;"#5 (D16)"),O28+P28,0)</f>
        <v/>
      </c>
    </row>
    <row r="29" ht="15" customHeight="1" s="48">
      <c r="A29" s="67" t="n">
        <v>25</v>
      </c>
      <c r="B29" s="70" t="n"/>
      <c r="C29" s="70" t="n"/>
      <c r="D29" s="74" t="n"/>
      <c r="E29" s="70" t="n"/>
      <c r="F29" s="70" t="n"/>
      <c r="G29" s="70" t="n"/>
      <c r="H29" s="70" t="n"/>
      <c r="I29" s="70" t="n"/>
      <c r="J29" s="70" t="n"/>
      <c r="K29" s="74" t="n"/>
      <c r="L29" s="70" t="n"/>
      <c r="M29" s="75">
        <f>IF(AND(F29&lt;&gt;"",G29&lt;&gt;"",H29&lt;&gt;""),SQRT((F29*G29)^2+(F29*H29)^2)/1000,0)</f>
        <v/>
      </c>
      <c r="N29" s="75">
        <f>IF(AND(M29&gt;0,E29&lt;&gt;"",I29&lt;&gt;"",J29&lt;&gt;""),(M29*E29/1000*I29/1000+F29*G29*H29*E29/2/1000000000)*J29,0)</f>
        <v/>
      </c>
      <c r="O29" s="75">
        <f>IF(AND(K29&lt;&gt;"",L29&lt;&gt;"",M29&gt;0,E29&lt;&gt;"",J29&lt;&gt;""),VLOOKUP(K29,'1-專案資訊'!A25:I33,4,0)*(M29+2*VLOOKUP(K29,'1-專案資訊'!A25:I33,8,0)/100)*(E29/L29)*J29,0)</f>
        <v/>
      </c>
      <c r="P29" s="75">
        <f>IF(AND(M29&gt;0,E29&lt;&gt;"",J29&lt;&gt;""),0.56/0.2*M29*(E29/1000)*J29,0)</f>
        <v/>
      </c>
      <c r="Q29" s="75">
        <f>IF(AND(M29&gt;0,E29&lt;&gt;"",J29&lt;&gt;""),M29*E29/1000*J29,0)</f>
        <v/>
      </c>
      <c r="R29" s="75">
        <f>IF(AND(F29&lt;&gt;"",G29&lt;&gt;"",H29&lt;&gt;"",E29&lt;&gt;"",J29&lt;&gt;""),F29*(H29+G29)*E29/1000000*J29,0)</f>
        <v/>
      </c>
      <c r="S29" s="75">
        <f>IF(OR(K29="#3 (D10)",K29="#4 (D13)",K29="#5 (D16)"),O29+P29,0)</f>
        <v/>
      </c>
      <c r="T29" s="75">
        <f>IF(AND(K29&lt;&gt;"",K29&lt;&gt;"#3 (D10)",K29&lt;&gt;"#4 (D13)",K29&lt;&gt;"#5 (D16)"),O29+P29,0)</f>
        <v/>
      </c>
    </row>
    <row r="30" ht="15" customHeight="1" s="48">
      <c r="A30" s="67" t="n">
        <v>26</v>
      </c>
      <c r="B30" s="70" t="n"/>
      <c r="C30" s="70" t="n"/>
      <c r="D30" s="74" t="n"/>
      <c r="E30" s="70" t="n"/>
      <c r="F30" s="70" t="n"/>
      <c r="G30" s="70" t="n"/>
      <c r="H30" s="70" t="n"/>
      <c r="I30" s="70" t="n"/>
      <c r="J30" s="70" t="n"/>
      <c r="K30" s="74" t="n"/>
      <c r="L30" s="70" t="n"/>
      <c r="M30" s="75">
        <f>IF(AND(F30&lt;&gt;"",G30&lt;&gt;"",H30&lt;&gt;""),SQRT((F30*G30)^2+(F30*H30)^2)/1000,0)</f>
        <v/>
      </c>
      <c r="N30" s="75">
        <f>IF(AND(M30&gt;0,E30&lt;&gt;"",I30&lt;&gt;"",J30&lt;&gt;""),(M30*E30/1000*I30/1000+F30*G30*H30*E30/2/1000000000)*J30,0)</f>
        <v/>
      </c>
      <c r="O30" s="75">
        <f>IF(AND(K30&lt;&gt;"",L30&lt;&gt;"",M30&gt;0,E30&lt;&gt;"",J30&lt;&gt;""),VLOOKUP(K30,'1-專案資訊'!A25:I33,4,0)*(M30+2*VLOOKUP(K30,'1-專案資訊'!A25:I33,8,0)/100)*(E30/L30)*J30,0)</f>
        <v/>
      </c>
      <c r="P30" s="75">
        <f>IF(AND(M30&gt;0,E30&lt;&gt;"",J30&lt;&gt;""),0.56/0.2*M30*(E30/1000)*J30,0)</f>
        <v/>
      </c>
      <c r="Q30" s="75">
        <f>IF(AND(M30&gt;0,E30&lt;&gt;"",J30&lt;&gt;""),M30*E30/1000*J30,0)</f>
        <v/>
      </c>
      <c r="R30" s="75">
        <f>IF(AND(F30&lt;&gt;"",G30&lt;&gt;"",H30&lt;&gt;"",E30&lt;&gt;"",J30&lt;&gt;""),F30*(H30+G30)*E30/1000000*J30,0)</f>
        <v/>
      </c>
      <c r="S30" s="75">
        <f>IF(OR(K30="#3 (D10)",K30="#4 (D13)",K30="#5 (D16)"),O30+P30,0)</f>
        <v/>
      </c>
      <c r="T30" s="75">
        <f>IF(AND(K30&lt;&gt;"",K30&lt;&gt;"#3 (D10)",K30&lt;&gt;"#4 (D13)",K30&lt;&gt;"#5 (D16)"),O30+P30,0)</f>
        <v/>
      </c>
    </row>
    <row r="31" ht="15" customHeight="1" s="48">
      <c r="A31" s="67" t="n">
        <v>27</v>
      </c>
      <c r="B31" s="70" t="n"/>
      <c r="C31" s="70" t="n"/>
      <c r="D31" s="74" t="n"/>
      <c r="E31" s="70" t="n"/>
      <c r="F31" s="70" t="n"/>
      <c r="G31" s="70" t="n"/>
      <c r="H31" s="70" t="n"/>
      <c r="I31" s="70" t="n"/>
      <c r="J31" s="70" t="n"/>
      <c r="K31" s="74" t="n"/>
      <c r="L31" s="70" t="n"/>
      <c r="M31" s="75">
        <f>IF(AND(F31&lt;&gt;"",G31&lt;&gt;"",H31&lt;&gt;""),SQRT((F31*G31)^2+(F31*H31)^2)/1000,0)</f>
        <v/>
      </c>
      <c r="N31" s="75">
        <f>IF(AND(M31&gt;0,E31&lt;&gt;"",I31&lt;&gt;"",J31&lt;&gt;""),(M31*E31/1000*I31/1000+F31*G31*H31*E31/2/1000000000)*J31,0)</f>
        <v/>
      </c>
      <c r="O31" s="75">
        <f>IF(AND(K31&lt;&gt;"",L31&lt;&gt;"",M31&gt;0,E31&lt;&gt;"",J31&lt;&gt;""),VLOOKUP(K31,'1-專案資訊'!A25:I33,4,0)*(M31+2*VLOOKUP(K31,'1-專案資訊'!A25:I33,8,0)/100)*(E31/L31)*J31,0)</f>
        <v/>
      </c>
      <c r="P31" s="75">
        <f>IF(AND(M31&gt;0,E31&lt;&gt;"",J31&lt;&gt;""),0.56/0.2*M31*(E31/1000)*J31,0)</f>
        <v/>
      </c>
      <c r="Q31" s="75">
        <f>IF(AND(M31&gt;0,E31&lt;&gt;"",J31&lt;&gt;""),M31*E31/1000*J31,0)</f>
        <v/>
      </c>
      <c r="R31" s="75">
        <f>IF(AND(F31&lt;&gt;"",G31&lt;&gt;"",H31&lt;&gt;"",E31&lt;&gt;"",J31&lt;&gt;""),F31*(H31+G31)*E31/1000000*J31,0)</f>
        <v/>
      </c>
      <c r="S31" s="75">
        <f>IF(OR(K31="#3 (D10)",K31="#4 (D13)",K31="#5 (D16)"),O31+P31,0)</f>
        <v/>
      </c>
      <c r="T31" s="75">
        <f>IF(AND(K31&lt;&gt;"",K31&lt;&gt;"#3 (D10)",K31&lt;&gt;"#4 (D13)",K31&lt;&gt;"#5 (D16)"),O31+P31,0)</f>
        <v/>
      </c>
    </row>
    <row r="32" ht="15" customHeight="1" s="48">
      <c r="A32" s="67" t="n">
        <v>28</v>
      </c>
      <c r="B32" s="70" t="n"/>
      <c r="C32" s="70" t="n"/>
      <c r="D32" s="74" t="n"/>
      <c r="E32" s="70" t="n"/>
      <c r="F32" s="70" t="n"/>
      <c r="G32" s="70" t="n"/>
      <c r="H32" s="70" t="n"/>
      <c r="I32" s="70" t="n"/>
      <c r="J32" s="70" t="n"/>
      <c r="K32" s="74" t="n"/>
      <c r="L32" s="70" t="n"/>
      <c r="M32" s="75">
        <f>IF(AND(F32&lt;&gt;"",G32&lt;&gt;"",H32&lt;&gt;""),SQRT((F32*G32)^2+(F32*H32)^2)/1000,0)</f>
        <v/>
      </c>
      <c r="N32" s="75">
        <f>IF(AND(M32&gt;0,E32&lt;&gt;"",I32&lt;&gt;"",J32&lt;&gt;""),(M32*E32/1000*I32/1000+F32*G32*H32*E32/2/1000000000)*J32,0)</f>
        <v/>
      </c>
      <c r="O32" s="75">
        <f>IF(AND(K32&lt;&gt;"",L32&lt;&gt;"",M32&gt;0,E32&lt;&gt;"",J32&lt;&gt;""),VLOOKUP(K32,'1-專案資訊'!A25:I33,4,0)*(M32+2*VLOOKUP(K32,'1-專案資訊'!A25:I33,8,0)/100)*(E32/L32)*J32,0)</f>
        <v/>
      </c>
      <c r="P32" s="75">
        <f>IF(AND(M32&gt;0,E32&lt;&gt;"",J32&lt;&gt;""),0.56/0.2*M32*(E32/1000)*J32,0)</f>
        <v/>
      </c>
      <c r="Q32" s="75">
        <f>IF(AND(M32&gt;0,E32&lt;&gt;"",J32&lt;&gt;""),M32*E32/1000*J32,0)</f>
        <v/>
      </c>
      <c r="R32" s="75">
        <f>IF(AND(F32&lt;&gt;"",G32&lt;&gt;"",H32&lt;&gt;"",E32&lt;&gt;"",J32&lt;&gt;""),F32*(H32+G32)*E32/1000000*J32,0)</f>
        <v/>
      </c>
      <c r="S32" s="75">
        <f>IF(OR(K32="#3 (D10)",K32="#4 (D13)",K32="#5 (D16)"),O32+P32,0)</f>
        <v/>
      </c>
      <c r="T32" s="75">
        <f>IF(AND(K32&lt;&gt;"",K32&lt;&gt;"#3 (D10)",K32&lt;&gt;"#4 (D13)",K32&lt;&gt;"#5 (D16)"),O32+P32,0)</f>
        <v/>
      </c>
    </row>
    <row r="33" ht="15" customHeight="1" s="48">
      <c r="A33" s="67" t="n">
        <v>29</v>
      </c>
      <c r="B33" s="70" t="n"/>
      <c r="C33" s="70" t="n"/>
      <c r="D33" s="74" t="n"/>
      <c r="E33" s="70" t="n"/>
      <c r="F33" s="70" t="n"/>
      <c r="G33" s="70" t="n"/>
      <c r="H33" s="70" t="n"/>
      <c r="I33" s="70" t="n"/>
      <c r="J33" s="70" t="n"/>
      <c r="K33" s="74" t="n"/>
      <c r="L33" s="70" t="n"/>
      <c r="M33" s="75">
        <f>IF(AND(F33&lt;&gt;"",G33&lt;&gt;"",H33&lt;&gt;""),SQRT((F33*G33)^2+(F33*H33)^2)/1000,0)</f>
        <v/>
      </c>
      <c r="N33" s="75">
        <f>IF(AND(M33&gt;0,E33&lt;&gt;"",I33&lt;&gt;"",J33&lt;&gt;""),(M33*E33/1000*I33/1000+F33*G33*H33*E33/2/1000000000)*J33,0)</f>
        <v/>
      </c>
      <c r="O33" s="75">
        <f>IF(AND(K33&lt;&gt;"",L33&lt;&gt;"",M33&gt;0,E33&lt;&gt;"",J33&lt;&gt;""),VLOOKUP(K33,'1-專案資訊'!A25:I33,4,0)*(M33+2*VLOOKUP(K33,'1-專案資訊'!A25:I33,8,0)/100)*(E33/L33)*J33,0)</f>
        <v/>
      </c>
      <c r="P33" s="75">
        <f>IF(AND(M33&gt;0,E33&lt;&gt;"",J33&lt;&gt;""),0.56/0.2*M33*(E33/1000)*J33,0)</f>
        <v/>
      </c>
      <c r="Q33" s="75">
        <f>IF(AND(M33&gt;0,E33&lt;&gt;"",J33&lt;&gt;""),M33*E33/1000*J33,0)</f>
        <v/>
      </c>
      <c r="R33" s="75">
        <f>IF(AND(F33&lt;&gt;"",G33&lt;&gt;"",H33&lt;&gt;"",E33&lt;&gt;"",J33&lt;&gt;""),F33*(H33+G33)*E33/1000000*J33,0)</f>
        <v/>
      </c>
      <c r="S33" s="75">
        <f>IF(OR(K33="#3 (D10)",K33="#4 (D13)",K33="#5 (D16)"),O33+P33,0)</f>
        <v/>
      </c>
      <c r="T33" s="75">
        <f>IF(AND(K33&lt;&gt;"",K33&lt;&gt;"#3 (D10)",K33&lt;&gt;"#4 (D13)",K33&lt;&gt;"#5 (D16)"),O33+P33,0)</f>
        <v/>
      </c>
    </row>
    <row r="34" ht="15" customHeight="1" s="48">
      <c r="A34" s="67" t="n">
        <v>30</v>
      </c>
      <c r="B34" s="70" t="n"/>
      <c r="C34" s="70" t="n"/>
      <c r="D34" s="74" t="n"/>
      <c r="E34" s="70" t="n"/>
      <c r="F34" s="70" t="n"/>
      <c r="G34" s="70" t="n"/>
      <c r="H34" s="70" t="n"/>
      <c r="I34" s="70" t="n"/>
      <c r="J34" s="70" t="n"/>
      <c r="K34" s="74" t="n"/>
      <c r="L34" s="70" t="n"/>
      <c r="M34" s="75">
        <f>IF(AND(F34&lt;&gt;"",G34&lt;&gt;"",H34&lt;&gt;""),SQRT((F34*G34)^2+(F34*H34)^2)/1000,0)</f>
        <v/>
      </c>
      <c r="N34" s="75">
        <f>IF(AND(M34&gt;0,E34&lt;&gt;"",I34&lt;&gt;"",J34&lt;&gt;""),(M34*E34/1000*I34/1000+F34*G34*H34*E34/2/1000000000)*J34,0)</f>
        <v/>
      </c>
      <c r="O34" s="75">
        <f>IF(AND(K34&lt;&gt;"",L34&lt;&gt;"",M34&gt;0,E34&lt;&gt;"",J34&lt;&gt;""),VLOOKUP(K34,'1-專案資訊'!A25:I33,4,0)*(M34+2*VLOOKUP(K34,'1-專案資訊'!A25:I33,8,0)/100)*(E34/L34)*J34,0)</f>
        <v/>
      </c>
      <c r="P34" s="75">
        <f>IF(AND(M34&gt;0,E34&lt;&gt;"",J34&lt;&gt;""),0.56/0.2*M34*(E34/1000)*J34,0)</f>
        <v/>
      </c>
      <c r="Q34" s="75">
        <f>IF(AND(M34&gt;0,E34&lt;&gt;"",J34&lt;&gt;""),M34*E34/1000*J34,0)</f>
        <v/>
      </c>
      <c r="R34" s="75">
        <f>IF(AND(F34&lt;&gt;"",G34&lt;&gt;"",H34&lt;&gt;"",E34&lt;&gt;"",J34&lt;&gt;""),F34*(H34+G34)*E34/1000000*J34,0)</f>
        <v/>
      </c>
      <c r="S34" s="75">
        <f>IF(OR(K34="#3 (D10)",K34="#4 (D13)",K34="#5 (D16)"),O34+P34,0)</f>
        <v/>
      </c>
      <c r="T34" s="75">
        <f>IF(AND(K34&lt;&gt;"",K34&lt;&gt;"#3 (D10)",K34&lt;&gt;"#4 (D13)",K34&lt;&gt;"#5 (D16)"),O34+P34,0)</f>
        <v/>
      </c>
    </row>
    <row r="35" ht="16.5" customHeight="1" s="48">
      <c r="J35" s="76" t="inlineStr">
        <is>
          <t>合計</t>
        </is>
      </c>
      <c r="M35" s="77">
        <f>SUM(M5:M34)</f>
        <v/>
      </c>
      <c r="N35" s="77">
        <f>SUM(N5:N34)</f>
        <v/>
      </c>
      <c r="O35" s="77">
        <f>SUM(O5:O34)</f>
        <v/>
      </c>
      <c r="P35" s="77">
        <f>SUM(P5:P34)</f>
        <v/>
      </c>
      <c r="Q35" s="77">
        <f>SUM(Q5:Q34)</f>
        <v/>
      </c>
      <c r="R35" s="77">
        <f>SUM(R5:R34)</f>
        <v/>
      </c>
      <c r="S35" s="77">
        <f>SUM(S5:S34)</f>
        <v/>
      </c>
      <c r="T35" s="77">
        <f>SUM(T5:T34)</f>
        <v/>
      </c>
    </row>
  </sheetData>
  <mergeCells count="2">
    <mergeCell ref="A1:T1"/>
    <mergeCell ref="A2:T2"/>
  </mergeCells>
  <dataValidations count="2">
    <dataValidation sqref="D5:D34" showDropDown="0" showInputMessage="0" showErrorMessage="0" allowBlank="1" type="list" errorStyle="stop" operator="between">
      <formula1>"ST-01"</formula1>
      <formula2>0</formula2>
    </dataValidation>
    <dataValidation sqref="K5:K34" showDropDown="0" showInputMessage="0" showErrorMessage="0" allowBlank="1" type="list" errorStyle="stop" operator="between">
      <formula1>"#3 (D10),#4 (D13),#5 (D16),#6 (D19),#7 (D22)"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R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7" min="1" max="1"/>
    <col width="8" customWidth="1" style="47" min="2" max="2"/>
    <col width="10" customWidth="1" style="47" min="3" max="6"/>
    <col width="7" customWidth="1" style="47" min="7" max="7"/>
    <col width="10" customWidth="1" style="47" min="8" max="9"/>
    <col width="12" customWidth="1" style="47" min="10" max="10"/>
    <col width="11" customWidth="1" style="47" min="11" max="18"/>
  </cols>
  <sheetData>
    <row r="1" ht="21" customHeight="1" s="48">
      <c r="A1" s="68" t="inlineStr">
        <is>
          <t>開口扣除表（樓板/牆共用）</t>
        </is>
      </c>
    </row>
    <row r="2" ht="13.5" customHeight="1" s="48">
      <c r="A2" s="50" t="inlineStr">
        <is>
          <t>一種開口一行。自動扣混凝土模板，自動算補強筋(依RC07)。</t>
        </is>
      </c>
    </row>
    <row r="4" ht="26.25" customHeight="1" s="48">
      <c r="A4" s="60" t="inlineStr">
        <is>
          <t>No</t>
        </is>
      </c>
      <c r="B4" s="59" t="inlineStr">
        <is>
          <t>樓層</t>
        </is>
      </c>
      <c r="C4" s="59" t="inlineStr">
        <is>
          <t>▼所屬構件</t>
        </is>
      </c>
      <c r="D4" s="59" t="inlineStr">
        <is>
          <t>開口名稱</t>
        </is>
      </c>
      <c r="E4" s="59" t="inlineStr">
        <is>
          <t>寬W (mm)</t>
        </is>
      </c>
      <c r="F4" s="59" t="inlineStr">
        <is>
          <t>高H (mm)</t>
        </is>
      </c>
      <c r="G4" s="59" t="inlineStr">
        <is>
          <t>數量</t>
        </is>
      </c>
      <c r="H4" s="59" t="inlineStr">
        <is>
          <t>厚度 (mm)</t>
        </is>
      </c>
      <c r="I4" s="59" t="inlineStr">
        <is>
          <t>原筋間距 (mm)</t>
        </is>
      </c>
      <c r="J4" s="59" t="inlineStr">
        <is>
          <t>▼補強筋號數</t>
        </is>
      </c>
      <c r="K4" s="59" t="inlineStr">
        <is>
          <t>扣混凝土 (m3)</t>
        </is>
      </c>
      <c r="L4" s="59" t="inlineStr">
        <is>
          <t>扣模板 (m2)</t>
        </is>
      </c>
      <c r="M4" s="59" t="inlineStr">
        <is>
          <t>縱向補強 (kg)</t>
        </is>
      </c>
      <c r="N4" s="59" t="inlineStr">
        <is>
          <t>橫向補強 (kg)</t>
        </is>
      </c>
      <c r="O4" s="59" t="inlineStr">
        <is>
          <t>斜向補強 (kg)</t>
        </is>
      </c>
      <c r="P4" s="59" t="inlineStr">
        <is>
          <t>補強合計 (kg)</t>
        </is>
      </c>
      <c r="Q4" s="60" t="inlineStr">
        <is>
          <t>SD280 (kg)</t>
        </is>
      </c>
      <c r="R4" s="60" t="inlineStr">
        <is>
          <t>SD420 (kg)</t>
        </is>
      </c>
    </row>
    <row r="5" ht="15" customHeight="1" s="48">
      <c r="A5" s="67" t="n">
        <v>1</v>
      </c>
      <c r="B5" s="70" t="n"/>
      <c r="C5" s="74" t="n"/>
      <c r="D5" s="70" t="n"/>
      <c r="E5" s="70" t="n"/>
      <c r="F5" s="70" t="n"/>
      <c r="G5" s="70" t="n"/>
      <c r="H5" s="70" t="n"/>
      <c r="I5" s="70" t="n"/>
      <c r="J5" s="74" t="n"/>
      <c r="K5" s="75">
        <f>IF(AND(E5&lt;&gt;"",F5&lt;&gt;"",G5&lt;&gt;"",H5&lt;&gt;""),E5*F5*H5/1000000000*G5,0)</f>
        <v/>
      </c>
      <c r="L5" s="75">
        <f>IF(AND(E5&lt;&gt;"",F5&lt;&gt;"",G5&lt;&gt;""),IF(C5="牆",E5*F5*2/1000000*G5,E5*F5/1000000*G5),0)</f>
        <v/>
      </c>
      <c r="M5" s="75">
        <f>IF(AND(J5&lt;&gt;"",E5&lt;&gt;"",F5&lt;&gt;"",I5&lt;&gt;"",G5&lt;&gt;""),VLOOKUP(J5,'1-專案資訊'!A25:I33,4,0)*(F5/1000+2*VLOOKUP(J5,'1-專案資訊'!A25:I33,8,0)/100)*ROUNDUP(E5/I5,0)*2*G5,0)</f>
        <v/>
      </c>
      <c r="N5" s="75">
        <f>IF(AND(J5&lt;&gt;"",E5&lt;&gt;"",F5&lt;&gt;"",I5&lt;&gt;"",G5&lt;&gt;""),VLOOKUP(J5,'1-專案資訊'!A25:I33,4,0)*(E5/1000+2*VLOOKUP(J5,'1-專案資訊'!A25:I33,8,0)/100)*ROUNDUP(F5/I5,0)*2*G5,0)</f>
        <v/>
      </c>
      <c r="O5" s="75">
        <f>IF(AND(J5&lt;&gt;"",E5&lt;&gt;"",F5&lt;&gt;"",G5&lt;&gt;"",E5&gt;=300),VLOOKUP(J5,'1-專案資訊'!A25:I33,4,0)*(SQRT(E5^2+F5^2)/1000+2*VLOOKUP(J5,'1-專案資訊'!A25:I33,8,0)/100)*G5,0)</f>
        <v/>
      </c>
      <c r="P5" s="75">
        <f>M5+N5+O5</f>
        <v/>
      </c>
      <c r="Q5" s="75">
        <f>IF(OR(J5="#3 (D10)",J5="#4 (D13)",J5="#5 (D16)"),P5,0)</f>
        <v/>
      </c>
      <c r="R5" s="75">
        <f>IF(AND(J5&lt;&gt;"",J5&lt;&gt;"#3 (D10)",J5&lt;&gt;"#4 (D13)",J5&lt;&gt;"#5 (D16)"),P5,0)</f>
        <v/>
      </c>
    </row>
    <row r="6" ht="15" customHeight="1" s="48">
      <c r="A6" s="67" t="n">
        <v>2</v>
      </c>
      <c r="B6" s="70" t="n"/>
      <c r="C6" s="74" t="n"/>
      <c r="D6" s="70" t="n"/>
      <c r="E6" s="70" t="n"/>
      <c r="F6" s="70" t="n"/>
      <c r="G6" s="70" t="n"/>
      <c r="H6" s="70" t="n"/>
      <c r="I6" s="70" t="n"/>
      <c r="J6" s="74" t="n"/>
      <c r="K6" s="75">
        <f>IF(AND(E6&lt;&gt;"",F6&lt;&gt;"",G6&lt;&gt;"",H6&lt;&gt;""),E6*F6*H6/1000000000*G6,0)</f>
        <v/>
      </c>
      <c r="L6" s="75">
        <f>IF(AND(E6&lt;&gt;"",F6&lt;&gt;"",G6&lt;&gt;""),IF(C6="牆",E6*F6*2/1000000*G6,E6*F6/1000000*G6),0)</f>
        <v/>
      </c>
      <c r="M6" s="75">
        <f>IF(AND(J6&lt;&gt;"",E6&lt;&gt;"",F6&lt;&gt;"",I6&lt;&gt;"",G6&lt;&gt;""),VLOOKUP(J6,'1-專案資訊'!A25:I33,4,0)*(F6/1000+2*VLOOKUP(J6,'1-專案資訊'!A25:I33,8,0)/100)*ROUNDUP(E6/I6,0)*2*G6,0)</f>
        <v/>
      </c>
      <c r="N6" s="75">
        <f>IF(AND(J6&lt;&gt;"",E6&lt;&gt;"",F6&lt;&gt;"",I6&lt;&gt;"",G6&lt;&gt;""),VLOOKUP(J6,'1-專案資訊'!A25:I33,4,0)*(E6/1000+2*VLOOKUP(J6,'1-專案資訊'!A25:I33,8,0)/100)*ROUNDUP(F6/I6,0)*2*G6,0)</f>
        <v/>
      </c>
      <c r="O6" s="75">
        <f>IF(AND(J6&lt;&gt;"",E6&lt;&gt;"",F6&lt;&gt;"",G6&lt;&gt;"",E6&gt;=300),VLOOKUP(J6,'1-專案資訊'!A25:I33,4,0)*(SQRT(E6^2+F6^2)/1000+2*VLOOKUP(J6,'1-專案資訊'!A25:I33,8,0)/100)*G6,0)</f>
        <v/>
      </c>
      <c r="P6" s="75">
        <f>M6+N6+O6</f>
        <v/>
      </c>
      <c r="Q6" s="75">
        <f>IF(OR(J6="#3 (D10)",J6="#4 (D13)",J6="#5 (D16)"),P6,0)</f>
        <v/>
      </c>
      <c r="R6" s="75">
        <f>IF(AND(J6&lt;&gt;"",J6&lt;&gt;"#3 (D10)",J6&lt;&gt;"#4 (D13)",J6&lt;&gt;"#5 (D16)"),P6,0)</f>
        <v/>
      </c>
    </row>
    <row r="7" ht="15" customHeight="1" s="48">
      <c r="A7" s="67" t="n">
        <v>3</v>
      </c>
      <c r="B7" s="70" t="n"/>
      <c r="C7" s="74" t="n"/>
      <c r="D7" s="70" t="n"/>
      <c r="E7" s="70" t="n"/>
      <c r="F7" s="70" t="n"/>
      <c r="G7" s="70" t="n"/>
      <c r="H7" s="70" t="n"/>
      <c r="I7" s="70" t="n"/>
      <c r="J7" s="74" t="n"/>
      <c r="K7" s="75">
        <f>IF(AND(E7&lt;&gt;"",F7&lt;&gt;"",G7&lt;&gt;"",H7&lt;&gt;""),E7*F7*H7/1000000000*G7,0)</f>
        <v/>
      </c>
      <c r="L7" s="75">
        <f>IF(AND(E7&lt;&gt;"",F7&lt;&gt;"",G7&lt;&gt;""),IF(C7="牆",E7*F7*2/1000000*G7,E7*F7/1000000*G7),0)</f>
        <v/>
      </c>
      <c r="M7" s="75">
        <f>IF(AND(J7&lt;&gt;"",E7&lt;&gt;"",F7&lt;&gt;"",I7&lt;&gt;"",G7&lt;&gt;""),VLOOKUP(J7,'1-專案資訊'!A25:I33,4,0)*(F7/1000+2*VLOOKUP(J7,'1-專案資訊'!A25:I33,8,0)/100)*ROUNDUP(E7/I7,0)*2*G7,0)</f>
        <v/>
      </c>
      <c r="N7" s="75">
        <f>IF(AND(J7&lt;&gt;"",E7&lt;&gt;"",F7&lt;&gt;"",I7&lt;&gt;"",G7&lt;&gt;""),VLOOKUP(J7,'1-專案資訊'!A25:I33,4,0)*(E7/1000+2*VLOOKUP(J7,'1-專案資訊'!A25:I33,8,0)/100)*ROUNDUP(F7/I7,0)*2*G7,0)</f>
        <v/>
      </c>
      <c r="O7" s="75">
        <f>IF(AND(J7&lt;&gt;"",E7&lt;&gt;"",F7&lt;&gt;"",G7&lt;&gt;"",E7&gt;=300),VLOOKUP(J7,'1-專案資訊'!A25:I33,4,0)*(SQRT(E7^2+F7^2)/1000+2*VLOOKUP(J7,'1-專案資訊'!A25:I33,8,0)/100)*G7,0)</f>
        <v/>
      </c>
      <c r="P7" s="75">
        <f>M7+N7+O7</f>
        <v/>
      </c>
      <c r="Q7" s="75">
        <f>IF(OR(J7="#3 (D10)",J7="#4 (D13)",J7="#5 (D16)"),P7,0)</f>
        <v/>
      </c>
      <c r="R7" s="75">
        <f>IF(AND(J7&lt;&gt;"",J7&lt;&gt;"#3 (D10)",J7&lt;&gt;"#4 (D13)",J7&lt;&gt;"#5 (D16)"),P7,0)</f>
        <v/>
      </c>
    </row>
    <row r="8" ht="15" customHeight="1" s="48">
      <c r="A8" s="67" t="n">
        <v>4</v>
      </c>
      <c r="B8" s="70" t="n"/>
      <c r="C8" s="74" t="n"/>
      <c r="D8" s="70" t="n"/>
      <c r="E8" s="70" t="n"/>
      <c r="F8" s="70" t="n"/>
      <c r="G8" s="70" t="n"/>
      <c r="H8" s="70" t="n"/>
      <c r="I8" s="70" t="n"/>
      <c r="J8" s="74" t="n"/>
      <c r="K8" s="75">
        <f>IF(AND(E8&lt;&gt;"",F8&lt;&gt;"",G8&lt;&gt;"",H8&lt;&gt;""),E8*F8*H8/1000000000*G8,0)</f>
        <v/>
      </c>
      <c r="L8" s="75">
        <f>IF(AND(E8&lt;&gt;"",F8&lt;&gt;"",G8&lt;&gt;""),IF(C8="牆",E8*F8*2/1000000*G8,E8*F8/1000000*G8),0)</f>
        <v/>
      </c>
      <c r="M8" s="75">
        <f>IF(AND(J8&lt;&gt;"",E8&lt;&gt;"",F8&lt;&gt;"",I8&lt;&gt;"",G8&lt;&gt;""),VLOOKUP(J8,'1-專案資訊'!A25:I33,4,0)*(F8/1000+2*VLOOKUP(J8,'1-專案資訊'!A25:I33,8,0)/100)*ROUNDUP(E8/I8,0)*2*G8,0)</f>
        <v/>
      </c>
      <c r="N8" s="75">
        <f>IF(AND(J8&lt;&gt;"",E8&lt;&gt;"",F8&lt;&gt;"",I8&lt;&gt;"",G8&lt;&gt;""),VLOOKUP(J8,'1-專案資訊'!A25:I33,4,0)*(E8/1000+2*VLOOKUP(J8,'1-專案資訊'!A25:I33,8,0)/100)*ROUNDUP(F8/I8,0)*2*G8,0)</f>
        <v/>
      </c>
      <c r="O8" s="75">
        <f>IF(AND(J8&lt;&gt;"",E8&lt;&gt;"",F8&lt;&gt;"",G8&lt;&gt;"",E8&gt;=300),VLOOKUP(J8,'1-專案資訊'!A25:I33,4,0)*(SQRT(E8^2+F8^2)/1000+2*VLOOKUP(J8,'1-專案資訊'!A25:I33,8,0)/100)*G8,0)</f>
        <v/>
      </c>
      <c r="P8" s="75">
        <f>M8+N8+O8</f>
        <v/>
      </c>
      <c r="Q8" s="75">
        <f>IF(OR(J8="#3 (D10)",J8="#4 (D13)",J8="#5 (D16)"),P8,0)</f>
        <v/>
      </c>
      <c r="R8" s="75">
        <f>IF(AND(J8&lt;&gt;"",J8&lt;&gt;"#3 (D10)",J8&lt;&gt;"#4 (D13)",J8&lt;&gt;"#5 (D16)"),P8,0)</f>
        <v/>
      </c>
    </row>
    <row r="9" ht="15" customHeight="1" s="48">
      <c r="A9" s="67" t="n">
        <v>5</v>
      </c>
      <c r="B9" s="70" t="n"/>
      <c r="C9" s="74" t="n"/>
      <c r="D9" s="70" t="n"/>
      <c r="E9" s="70" t="n"/>
      <c r="F9" s="70" t="n"/>
      <c r="G9" s="70" t="n"/>
      <c r="H9" s="70" t="n"/>
      <c r="I9" s="70" t="n"/>
      <c r="J9" s="74" t="n"/>
      <c r="K9" s="75">
        <f>IF(AND(E9&lt;&gt;"",F9&lt;&gt;"",G9&lt;&gt;"",H9&lt;&gt;""),E9*F9*H9/1000000000*G9,0)</f>
        <v/>
      </c>
      <c r="L9" s="75">
        <f>IF(AND(E9&lt;&gt;"",F9&lt;&gt;"",G9&lt;&gt;""),IF(C9="牆",E9*F9*2/1000000*G9,E9*F9/1000000*G9),0)</f>
        <v/>
      </c>
      <c r="M9" s="75">
        <f>IF(AND(J9&lt;&gt;"",E9&lt;&gt;"",F9&lt;&gt;"",I9&lt;&gt;"",G9&lt;&gt;""),VLOOKUP(J9,'1-專案資訊'!A25:I33,4,0)*(F9/1000+2*VLOOKUP(J9,'1-專案資訊'!A25:I33,8,0)/100)*ROUNDUP(E9/I9,0)*2*G9,0)</f>
        <v/>
      </c>
      <c r="N9" s="75">
        <f>IF(AND(J9&lt;&gt;"",E9&lt;&gt;"",F9&lt;&gt;"",I9&lt;&gt;"",G9&lt;&gt;""),VLOOKUP(J9,'1-專案資訊'!A25:I33,4,0)*(E9/1000+2*VLOOKUP(J9,'1-專案資訊'!A25:I33,8,0)/100)*ROUNDUP(F9/I9,0)*2*G9,0)</f>
        <v/>
      </c>
      <c r="O9" s="75">
        <f>IF(AND(J9&lt;&gt;"",E9&lt;&gt;"",F9&lt;&gt;"",G9&lt;&gt;"",E9&gt;=300),VLOOKUP(J9,'1-專案資訊'!A25:I33,4,0)*(SQRT(E9^2+F9^2)/1000+2*VLOOKUP(J9,'1-專案資訊'!A25:I33,8,0)/100)*G9,0)</f>
        <v/>
      </c>
      <c r="P9" s="75">
        <f>M9+N9+O9</f>
        <v/>
      </c>
      <c r="Q9" s="75">
        <f>IF(OR(J9="#3 (D10)",J9="#4 (D13)",J9="#5 (D16)"),P9,0)</f>
        <v/>
      </c>
      <c r="R9" s="75">
        <f>IF(AND(J9&lt;&gt;"",J9&lt;&gt;"#3 (D10)",J9&lt;&gt;"#4 (D13)",J9&lt;&gt;"#5 (D16)"),P9,0)</f>
        <v/>
      </c>
    </row>
    <row r="10" ht="15" customHeight="1" s="48">
      <c r="A10" s="67" t="n">
        <v>6</v>
      </c>
      <c r="B10" s="70" t="n"/>
      <c r="C10" s="74" t="n"/>
      <c r="D10" s="70" t="n"/>
      <c r="E10" s="70" t="n"/>
      <c r="F10" s="70" t="n"/>
      <c r="G10" s="70" t="n"/>
      <c r="H10" s="70" t="n"/>
      <c r="I10" s="70" t="n"/>
      <c r="J10" s="74" t="n"/>
      <c r="K10" s="75">
        <f>IF(AND(E10&lt;&gt;"",F10&lt;&gt;"",G10&lt;&gt;"",H10&lt;&gt;""),E10*F10*H10/1000000000*G10,0)</f>
        <v/>
      </c>
      <c r="L10" s="75">
        <f>IF(AND(E10&lt;&gt;"",F10&lt;&gt;"",G10&lt;&gt;""),IF(C10="牆",E10*F10*2/1000000*G10,E10*F10/1000000*G10),0)</f>
        <v/>
      </c>
      <c r="M10" s="75">
        <f>IF(AND(J10&lt;&gt;"",E10&lt;&gt;"",F10&lt;&gt;"",I10&lt;&gt;"",G10&lt;&gt;""),VLOOKUP(J10,'1-專案資訊'!A25:I33,4,0)*(F10/1000+2*VLOOKUP(J10,'1-專案資訊'!A25:I33,8,0)/100)*ROUNDUP(E10/I10,0)*2*G10,0)</f>
        <v/>
      </c>
      <c r="N10" s="75">
        <f>IF(AND(J10&lt;&gt;"",E10&lt;&gt;"",F10&lt;&gt;"",I10&lt;&gt;"",G10&lt;&gt;""),VLOOKUP(J10,'1-專案資訊'!A25:I33,4,0)*(E10/1000+2*VLOOKUP(J10,'1-專案資訊'!A25:I33,8,0)/100)*ROUNDUP(F10/I10,0)*2*G10,0)</f>
        <v/>
      </c>
      <c r="O10" s="75">
        <f>IF(AND(J10&lt;&gt;"",E10&lt;&gt;"",F10&lt;&gt;"",G10&lt;&gt;"",E10&gt;=300),VLOOKUP(J10,'1-專案資訊'!A25:I33,4,0)*(SQRT(E10^2+F10^2)/1000+2*VLOOKUP(J10,'1-專案資訊'!A25:I33,8,0)/100)*G10,0)</f>
        <v/>
      </c>
      <c r="P10" s="75">
        <f>M10+N10+O10</f>
        <v/>
      </c>
      <c r="Q10" s="75">
        <f>IF(OR(J10="#3 (D10)",J10="#4 (D13)",J10="#5 (D16)"),P10,0)</f>
        <v/>
      </c>
      <c r="R10" s="75">
        <f>IF(AND(J10&lt;&gt;"",J10&lt;&gt;"#3 (D10)",J10&lt;&gt;"#4 (D13)",J10&lt;&gt;"#5 (D16)"),P10,0)</f>
        <v/>
      </c>
    </row>
    <row r="11" ht="15" customHeight="1" s="48">
      <c r="A11" s="67" t="n">
        <v>7</v>
      </c>
      <c r="B11" s="70" t="n"/>
      <c r="C11" s="74" t="n"/>
      <c r="D11" s="70" t="n"/>
      <c r="E11" s="70" t="n"/>
      <c r="F11" s="70" t="n"/>
      <c r="G11" s="70" t="n"/>
      <c r="H11" s="70" t="n"/>
      <c r="I11" s="70" t="n"/>
      <c r="J11" s="74" t="n"/>
      <c r="K11" s="75">
        <f>IF(AND(E11&lt;&gt;"",F11&lt;&gt;"",G11&lt;&gt;"",H11&lt;&gt;""),E11*F11*H11/1000000000*G11,0)</f>
        <v/>
      </c>
      <c r="L11" s="75">
        <f>IF(AND(E11&lt;&gt;"",F11&lt;&gt;"",G11&lt;&gt;""),IF(C11="牆",E11*F11*2/1000000*G11,E11*F11/1000000*G11),0)</f>
        <v/>
      </c>
      <c r="M11" s="75">
        <f>IF(AND(J11&lt;&gt;"",E11&lt;&gt;"",F11&lt;&gt;"",I11&lt;&gt;"",G11&lt;&gt;""),VLOOKUP(J11,'1-專案資訊'!A25:I33,4,0)*(F11/1000+2*VLOOKUP(J11,'1-專案資訊'!A25:I33,8,0)/100)*ROUNDUP(E11/I11,0)*2*G11,0)</f>
        <v/>
      </c>
      <c r="N11" s="75">
        <f>IF(AND(J11&lt;&gt;"",E11&lt;&gt;"",F11&lt;&gt;"",I11&lt;&gt;"",G11&lt;&gt;""),VLOOKUP(J11,'1-專案資訊'!A25:I33,4,0)*(E11/1000+2*VLOOKUP(J11,'1-專案資訊'!A25:I33,8,0)/100)*ROUNDUP(F11/I11,0)*2*G11,0)</f>
        <v/>
      </c>
      <c r="O11" s="75">
        <f>IF(AND(J11&lt;&gt;"",E11&lt;&gt;"",F11&lt;&gt;"",G11&lt;&gt;"",E11&gt;=300),VLOOKUP(J11,'1-專案資訊'!A25:I33,4,0)*(SQRT(E11^2+F11^2)/1000+2*VLOOKUP(J11,'1-專案資訊'!A25:I33,8,0)/100)*G11,0)</f>
        <v/>
      </c>
      <c r="P11" s="75">
        <f>M11+N11+O11</f>
        <v/>
      </c>
      <c r="Q11" s="75">
        <f>IF(OR(J11="#3 (D10)",J11="#4 (D13)",J11="#5 (D16)"),P11,0)</f>
        <v/>
      </c>
      <c r="R11" s="75">
        <f>IF(AND(J11&lt;&gt;"",J11&lt;&gt;"#3 (D10)",J11&lt;&gt;"#4 (D13)",J11&lt;&gt;"#5 (D16)"),P11,0)</f>
        <v/>
      </c>
    </row>
    <row r="12" ht="15" customHeight="1" s="48">
      <c r="A12" s="67" t="n">
        <v>8</v>
      </c>
      <c r="B12" s="70" t="n"/>
      <c r="C12" s="74" t="n"/>
      <c r="D12" s="70" t="n"/>
      <c r="E12" s="70" t="n"/>
      <c r="F12" s="70" t="n"/>
      <c r="G12" s="70" t="n"/>
      <c r="H12" s="70" t="n"/>
      <c r="I12" s="70" t="n"/>
      <c r="J12" s="74" t="n"/>
      <c r="K12" s="75">
        <f>IF(AND(E12&lt;&gt;"",F12&lt;&gt;"",G12&lt;&gt;"",H12&lt;&gt;""),E12*F12*H12/1000000000*G12,0)</f>
        <v/>
      </c>
      <c r="L12" s="75">
        <f>IF(AND(E12&lt;&gt;"",F12&lt;&gt;"",G12&lt;&gt;""),IF(C12="牆",E12*F12*2/1000000*G12,E12*F12/1000000*G12),0)</f>
        <v/>
      </c>
      <c r="M12" s="75">
        <f>IF(AND(J12&lt;&gt;"",E12&lt;&gt;"",F12&lt;&gt;"",I12&lt;&gt;"",G12&lt;&gt;""),VLOOKUP(J12,'1-專案資訊'!A25:I33,4,0)*(F12/1000+2*VLOOKUP(J12,'1-專案資訊'!A25:I33,8,0)/100)*ROUNDUP(E12/I12,0)*2*G12,0)</f>
        <v/>
      </c>
      <c r="N12" s="75">
        <f>IF(AND(J12&lt;&gt;"",E12&lt;&gt;"",F12&lt;&gt;"",I12&lt;&gt;"",G12&lt;&gt;""),VLOOKUP(J12,'1-專案資訊'!A25:I33,4,0)*(E12/1000+2*VLOOKUP(J12,'1-專案資訊'!A25:I33,8,0)/100)*ROUNDUP(F12/I12,0)*2*G12,0)</f>
        <v/>
      </c>
      <c r="O12" s="75">
        <f>IF(AND(J12&lt;&gt;"",E12&lt;&gt;"",F12&lt;&gt;"",G12&lt;&gt;"",E12&gt;=300),VLOOKUP(J12,'1-專案資訊'!A25:I33,4,0)*(SQRT(E12^2+F12^2)/1000+2*VLOOKUP(J12,'1-專案資訊'!A25:I33,8,0)/100)*G12,0)</f>
        <v/>
      </c>
      <c r="P12" s="75">
        <f>M12+N12+O12</f>
        <v/>
      </c>
      <c r="Q12" s="75">
        <f>IF(OR(J12="#3 (D10)",J12="#4 (D13)",J12="#5 (D16)"),P12,0)</f>
        <v/>
      </c>
      <c r="R12" s="75">
        <f>IF(AND(J12&lt;&gt;"",J12&lt;&gt;"#3 (D10)",J12&lt;&gt;"#4 (D13)",J12&lt;&gt;"#5 (D16)"),P12,0)</f>
        <v/>
      </c>
    </row>
    <row r="13" ht="15" customHeight="1" s="48">
      <c r="A13" s="67" t="n">
        <v>9</v>
      </c>
      <c r="B13" s="70" t="n"/>
      <c r="C13" s="74" t="n"/>
      <c r="D13" s="70" t="n"/>
      <c r="E13" s="70" t="n"/>
      <c r="F13" s="70" t="n"/>
      <c r="G13" s="70" t="n"/>
      <c r="H13" s="70" t="n"/>
      <c r="I13" s="70" t="n"/>
      <c r="J13" s="74" t="n"/>
      <c r="K13" s="75">
        <f>IF(AND(E13&lt;&gt;"",F13&lt;&gt;"",G13&lt;&gt;"",H13&lt;&gt;""),E13*F13*H13/1000000000*G13,0)</f>
        <v/>
      </c>
      <c r="L13" s="75">
        <f>IF(AND(E13&lt;&gt;"",F13&lt;&gt;"",G13&lt;&gt;""),IF(C13="牆",E13*F13*2/1000000*G13,E13*F13/1000000*G13),0)</f>
        <v/>
      </c>
      <c r="M13" s="75">
        <f>IF(AND(J13&lt;&gt;"",E13&lt;&gt;"",F13&lt;&gt;"",I13&lt;&gt;"",G13&lt;&gt;""),VLOOKUP(J13,'1-專案資訊'!A25:I33,4,0)*(F13/1000+2*VLOOKUP(J13,'1-專案資訊'!A25:I33,8,0)/100)*ROUNDUP(E13/I13,0)*2*G13,0)</f>
        <v/>
      </c>
      <c r="N13" s="75">
        <f>IF(AND(J13&lt;&gt;"",E13&lt;&gt;"",F13&lt;&gt;"",I13&lt;&gt;"",G13&lt;&gt;""),VLOOKUP(J13,'1-專案資訊'!A25:I33,4,0)*(E13/1000+2*VLOOKUP(J13,'1-專案資訊'!A25:I33,8,0)/100)*ROUNDUP(F13/I13,0)*2*G13,0)</f>
        <v/>
      </c>
      <c r="O13" s="75">
        <f>IF(AND(J13&lt;&gt;"",E13&lt;&gt;"",F13&lt;&gt;"",G13&lt;&gt;"",E13&gt;=300),VLOOKUP(J13,'1-專案資訊'!A25:I33,4,0)*(SQRT(E13^2+F13^2)/1000+2*VLOOKUP(J13,'1-專案資訊'!A25:I33,8,0)/100)*G13,0)</f>
        <v/>
      </c>
      <c r="P13" s="75">
        <f>M13+N13+O13</f>
        <v/>
      </c>
      <c r="Q13" s="75">
        <f>IF(OR(J13="#3 (D10)",J13="#4 (D13)",J13="#5 (D16)"),P13,0)</f>
        <v/>
      </c>
      <c r="R13" s="75">
        <f>IF(AND(J13&lt;&gt;"",J13&lt;&gt;"#3 (D10)",J13&lt;&gt;"#4 (D13)",J13&lt;&gt;"#5 (D16)"),P13,0)</f>
        <v/>
      </c>
    </row>
    <row r="14" ht="15" customHeight="1" s="48">
      <c r="A14" s="67" t="n">
        <v>10</v>
      </c>
      <c r="B14" s="70" t="n"/>
      <c r="C14" s="74" t="n"/>
      <c r="D14" s="70" t="n"/>
      <c r="E14" s="70" t="n"/>
      <c r="F14" s="70" t="n"/>
      <c r="G14" s="70" t="n"/>
      <c r="H14" s="70" t="n"/>
      <c r="I14" s="70" t="n"/>
      <c r="J14" s="74" t="n"/>
      <c r="K14" s="75">
        <f>IF(AND(E14&lt;&gt;"",F14&lt;&gt;"",G14&lt;&gt;"",H14&lt;&gt;""),E14*F14*H14/1000000000*G14,0)</f>
        <v/>
      </c>
      <c r="L14" s="75">
        <f>IF(AND(E14&lt;&gt;"",F14&lt;&gt;"",G14&lt;&gt;""),IF(C14="牆",E14*F14*2/1000000*G14,E14*F14/1000000*G14),0)</f>
        <v/>
      </c>
      <c r="M14" s="75">
        <f>IF(AND(J14&lt;&gt;"",E14&lt;&gt;"",F14&lt;&gt;"",I14&lt;&gt;"",G14&lt;&gt;""),VLOOKUP(J14,'1-專案資訊'!A25:I33,4,0)*(F14/1000+2*VLOOKUP(J14,'1-專案資訊'!A25:I33,8,0)/100)*ROUNDUP(E14/I14,0)*2*G14,0)</f>
        <v/>
      </c>
      <c r="N14" s="75">
        <f>IF(AND(J14&lt;&gt;"",E14&lt;&gt;"",F14&lt;&gt;"",I14&lt;&gt;"",G14&lt;&gt;""),VLOOKUP(J14,'1-專案資訊'!A25:I33,4,0)*(E14/1000+2*VLOOKUP(J14,'1-專案資訊'!A25:I33,8,0)/100)*ROUNDUP(F14/I14,0)*2*G14,0)</f>
        <v/>
      </c>
      <c r="O14" s="75">
        <f>IF(AND(J14&lt;&gt;"",E14&lt;&gt;"",F14&lt;&gt;"",G14&lt;&gt;"",E14&gt;=300),VLOOKUP(J14,'1-專案資訊'!A25:I33,4,0)*(SQRT(E14^2+F14^2)/1000+2*VLOOKUP(J14,'1-專案資訊'!A25:I33,8,0)/100)*G14,0)</f>
        <v/>
      </c>
      <c r="P14" s="75">
        <f>M14+N14+O14</f>
        <v/>
      </c>
      <c r="Q14" s="75">
        <f>IF(OR(J14="#3 (D10)",J14="#4 (D13)",J14="#5 (D16)"),P14,0)</f>
        <v/>
      </c>
      <c r="R14" s="75">
        <f>IF(AND(J14&lt;&gt;"",J14&lt;&gt;"#3 (D10)",J14&lt;&gt;"#4 (D13)",J14&lt;&gt;"#5 (D16)"),P14,0)</f>
        <v/>
      </c>
    </row>
    <row r="15" ht="15" customHeight="1" s="48">
      <c r="A15" s="67" t="n">
        <v>11</v>
      </c>
      <c r="B15" s="70" t="n"/>
      <c r="C15" s="74" t="n"/>
      <c r="D15" s="70" t="n"/>
      <c r="E15" s="70" t="n"/>
      <c r="F15" s="70" t="n"/>
      <c r="G15" s="70" t="n"/>
      <c r="H15" s="70" t="n"/>
      <c r="I15" s="70" t="n"/>
      <c r="J15" s="74" t="n"/>
      <c r="K15" s="75">
        <f>IF(AND(E15&lt;&gt;"",F15&lt;&gt;"",G15&lt;&gt;"",H15&lt;&gt;""),E15*F15*H15/1000000000*G15,0)</f>
        <v/>
      </c>
      <c r="L15" s="75">
        <f>IF(AND(E15&lt;&gt;"",F15&lt;&gt;"",G15&lt;&gt;""),IF(C15="牆",E15*F15*2/1000000*G15,E15*F15/1000000*G15),0)</f>
        <v/>
      </c>
      <c r="M15" s="75">
        <f>IF(AND(J15&lt;&gt;"",E15&lt;&gt;"",F15&lt;&gt;"",I15&lt;&gt;"",G15&lt;&gt;""),VLOOKUP(J15,'1-專案資訊'!A25:I33,4,0)*(F15/1000+2*VLOOKUP(J15,'1-專案資訊'!A25:I33,8,0)/100)*ROUNDUP(E15/I15,0)*2*G15,0)</f>
        <v/>
      </c>
      <c r="N15" s="75">
        <f>IF(AND(J15&lt;&gt;"",E15&lt;&gt;"",F15&lt;&gt;"",I15&lt;&gt;"",G15&lt;&gt;""),VLOOKUP(J15,'1-專案資訊'!A25:I33,4,0)*(E15/1000+2*VLOOKUP(J15,'1-專案資訊'!A25:I33,8,0)/100)*ROUNDUP(F15/I15,0)*2*G15,0)</f>
        <v/>
      </c>
      <c r="O15" s="75">
        <f>IF(AND(J15&lt;&gt;"",E15&lt;&gt;"",F15&lt;&gt;"",G15&lt;&gt;"",E15&gt;=300),VLOOKUP(J15,'1-專案資訊'!A25:I33,4,0)*(SQRT(E15^2+F15^2)/1000+2*VLOOKUP(J15,'1-專案資訊'!A25:I33,8,0)/100)*G15,0)</f>
        <v/>
      </c>
      <c r="P15" s="75">
        <f>M15+N15+O15</f>
        <v/>
      </c>
      <c r="Q15" s="75">
        <f>IF(OR(J15="#3 (D10)",J15="#4 (D13)",J15="#5 (D16)"),P15,0)</f>
        <v/>
      </c>
      <c r="R15" s="75">
        <f>IF(AND(J15&lt;&gt;"",J15&lt;&gt;"#3 (D10)",J15&lt;&gt;"#4 (D13)",J15&lt;&gt;"#5 (D16)"),P15,0)</f>
        <v/>
      </c>
    </row>
    <row r="16" ht="15" customHeight="1" s="48">
      <c r="A16" s="67" t="n">
        <v>12</v>
      </c>
      <c r="B16" s="70" t="n"/>
      <c r="C16" s="74" t="n"/>
      <c r="D16" s="70" t="n"/>
      <c r="E16" s="70" t="n"/>
      <c r="F16" s="70" t="n"/>
      <c r="G16" s="70" t="n"/>
      <c r="H16" s="70" t="n"/>
      <c r="I16" s="70" t="n"/>
      <c r="J16" s="74" t="n"/>
      <c r="K16" s="75">
        <f>IF(AND(E16&lt;&gt;"",F16&lt;&gt;"",G16&lt;&gt;"",H16&lt;&gt;""),E16*F16*H16/1000000000*G16,0)</f>
        <v/>
      </c>
      <c r="L16" s="75">
        <f>IF(AND(E16&lt;&gt;"",F16&lt;&gt;"",G16&lt;&gt;""),IF(C16="牆",E16*F16*2/1000000*G16,E16*F16/1000000*G16),0)</f>
        <v/>
      </c>
      <c r="M16" s="75">
        <f>IF(AND(J16&lt;&gt;"",E16&lt;&gt;"",F16&lt;&gt;"",I16&lt;&gt;"",G16&lt;&gt;""),VLOOKUP(J16,'1-專案資訊'!A25:I33,4,0)*(F16/1000+2*VLOOKUP(J16,'1-專案資訊'!A25:I33,8,0)/100)*ROUNDUP(E16/I16,0)*2*G16,0)</f>
        <v/>
      </c>
      <c r="N16" s="75">
        <f>IF(AND(J16&lt;&gt;"",E16&lt;&gt;"",F16&lt;&gt;"",I16&lt;&gt;"",G16&lt;&gt;""),VLOOKUP(J16,'1-專案資訊'!A25:I33,4,0)*(E16/1000+2*VLOOKUP(J16,'1-專案資訊'!A25:I33,8,0)/100)*ROUNDUP(F16/I16,0)*2*G16,0)</f>
        <v/>
      </c>
      <c r="O16" s="75">
        <f>IF(AND(J16&lt;&gt;"",E16&lt;&gt;"",F16&lt;&gt;"",G16&lt;&gt;"",E16&gt;=300),VLOOKUP(J16,'1-專案資訊'!A25:I33,4,0)*(SQRT(E16^2+F16^2)/1000+2*VLOOKUP(J16,'1-專案資訊'!A25:I33,8,0)/100)*G16,0)</f>
        <v/>
      </c>
      <c r="P16" s="75">
        <f>M16+N16+O16</f>
        <v/>
      </c>
      <c r="Q16" s="75">
        <f>IF(OR(J16="#3 (D10)",J16="#4 (D13)",J16="#5 (D16)"),P16,0)</f>
        <v/>
      </c>
      <c r="R16" s="75">
        <f>IF(AND(J16&lt;&gt;"",J16&lt;&gt;"#3 (D10)",J16&lt;&gt;"#4 (D13)",J16&lt;&gt;"#5 (D16)"),P16,0)</f>
        <v/>
      </c>
    </row>
    <row r="17" ht="15" customHeight="1" s="48">
      <c r="A17" s="67" t="n">
        <v>13</v>
      </c>
      <c r="B17" s="70" t="n"/>
      <c r="C17" s="74" t="n"/>
      <c r="D17" s="70" t="n"/>
      <c r="E17" s="70" t="n"/>
      <c r="F17" s="70" t="n"/>
      <c r="G17" s="70" t="n"/>
      <c r="H17" s="70" t="n"/>
      <c r="I17" s="70" t="n"/>
      <c r="J17" s="74" t="n"/>
      <c r="K17" s="75">
        <f>IF(AND(E17&lt;&gt;"",F17&lt;&gt;"",G17&lt;&gt;"",H17&lt;&gt;""),E17*F17*H17/1000000000*G17,0)</f>
        <v/>
      </c>
      <c r="L17" s="75">
        <f>IF(AND(E17&lt;&gt;"",F17&lt;&gt;"",G17&lt;&gt;""),IF(C17="牆",E17*F17*2/1000000*G17,E17*F17/1000000*G17),0)</f>
        <v/>
      </c>
      <c r="M17" s="75">
        <f>IF(AND(J17&lt;&gt;"",E17&lt;&gt;"",F17&lt;&gt;"",I17&lt;&gt;"",G17&lt;&gt;""),VLOOKUP(J17,'1-專案資訊'!A25:I33,4,0)*(F17/1000+2*VLOOKUP(J17,'1-專案資訊'!A25:I33,8,0)/100)*ROUNDUP(E17/I17,0)*2*G17,0)</f>
        <v/>
      </c>
      <c r="N17" s="75">
        <f>IF(AND(J17&lt;&gt;"",E17&lt;&gt;"",F17&lt;&gt;"",I17&lt;&gt;"",G17&lt;&gt;""),VLOOKUP(J17,'1-專案資訊'!A25:I33,4,0)*(E17/1000+2*VLOOKUP(J17,'1-專案資訊'!A25:I33,8,0)/100)*ROUNDUP(F17/I17,0)*2*G17,0)</f>
        <v/>
      </c>
      <c r="O17" s="75">
        <f>IF(AND(J17&lt;&gt;"",E17&lt;&gt;"",F17&lt;&gt;"",G17&lt;&gt;"",E17&gt;=300),VLOOKUP(J17,'1-專案資訊'!A25:I33,4,0)*(SQRT(E17^2+F17^2)/1000+2*VLOOKUP(J17,'1-專案資訊'!A25:I33,8,0)/100)*G17,0)</f>
        <v/>
      </c>
      <c r="P17" s="75">
        <f>M17+N17+O17</f>
        <v/>
      </c>
      <c r="Q17" s="75">
        <f>IF(OR(J17="#3 (D10)",J17="#4 (D13)",J17="#5 (D16)"),P17,0)</f>
        <v/>
      </c>
      <c r="R17" s="75">
        <f>IF(AND(J17&lt;&gt;"",J17&lt;&gt;"#3 (D10)",J17&lt;&gt;"#4 (D13)",J17&lt;&gt;"#5 (D16)"),P17,0)</f>
        <v/>
      </c>
    </row>
    <row r="18" ht="15" customHeight="1" s="48">
      <c r="A18" s="67" t="n">
        <v>14</v>
      </c>
      <c r="B18" s="70" t="n"/>
      <c r="C18" s="74" t="n"/>
      <c r="D18" s="70" t="n"/>
      <c r="E18" s="70" t="n"/>
      <c r="F18" s="70" t="n"/>
      <c r="G18" s="70" t="n"/>
      <c r="H18" s="70" t="n"/>
      <c r="I18" s="70" t="n"/>
      <c r="J18" s="74" t="n"/>
      <c r="K18" s="75">
        <f>IF(AND(E18&lt;&gt;"",F18&lt;&gt;"",G18&lt;&gt;"",H18&lt;&gt;""),E18*F18*H18/1000000000*G18,0)</f>
        <v/>
      </c>
      <c r="L18" s="75">
        <f>IF(AND(E18&lt;&gt;"",F18&lt;&gt;"",G18&lt;&gt;""),IF(C18="牆",E18*F18*2/1000000*G18,E18*F18/1000000*G18),0)</f>
        <v/>
      </c>
      <c r="M18" s="75">
        <f>IF(AND(J18&lt;&gt;"",E18&lt;&gt;"",F18&lt;&gt;"",I18&lt;&gt;"",G18&lt;&gt;""),VLOOKUP(J18,'1-專案資訊'!A25:I33,4,0)*(F18/1000+2*VLOOKUP(J18,'1-專案資訊'!A25:I33,8,0)/100)*ROUNDUP(E18/I18,0)*2*G18,0)</f>
        <v/>
      </c>
      <c r="N18" s="75">
        <f>IF(AND(J18&lt;&gt;"",E18&lt;&gt;"",F18&lt;&gt;"",I18&lt;&gt;"",G18&lt;&gt;""),VLOOKUP(J18,'1-專案資訊'!A25:I33,4,0)*(E18/1000+2*VLOOKUP(J18,'1-專案資訊'!A25:I33,8,0)/100)*ROUNDUP(F18/I18,0)*2*G18,0)</f>
        <v/>
      </c>
      <c r="O18" s="75">
        <f>IF(AND(J18&lt;&gt;"",E18&lt;&gt;"",F18&lt;&gt;"",G18&lt;&gt;"",E18&gt;=300),VLOOKUP(J18,'1-專案資訊'!A25:I33,4,0)*(SQRT(E18^2+F18^2)/1000+2*VLOOKUP(J18,'1-專案資訊'!A25:I33,8,0)/100)*G18,0)</f>
        <v/>
      </c>
      <c r="P18" s="75">
        <f>M18+N18+O18</f>
        <v/>
      </c>
      <c r="Q18" s="75">
        <f>IF(OR(J18="#3 (D10)",J18="#4 (D13)",J18="#5 (D16)"),P18,0)</f>
        <v/>
      </c>
      <c r="R18" s="75">
        <f>IF(AND(J18&lt;&gt;"",J18&lt;&gt;"#3 (D10)",J18&lt;&gt;"#4 (D13)",J18&lt;&gt;"#5 (D16)"),P18,0)</f>
        <v/>
      </c>
    </row>
    <row r="19" ht="15" customHeight="1" s="48">
      <c r="A19" s="67" t="n">
        <v>15</v>
      </c>
      <c r="B19" s="70" t="n"/>
      <c r="C19" s="74" t="n"/>
      <c r="D19" s="70" t="n"/>
      <c r="E19" s="70" t="n"/>
      <c r="F19" s="70" t="n"/>
      <c r="G19" s="70" t="n"/>
      <c r="H19" s="70" t="n"/>
      <c r="I19" s="70" t="n"/>
      <c r="J19" s="74" t="n"/>
      <c r="K19" s="75">
        <f>IF(AND(E19&lt;&gt;"",F19&lt;&gt;"",G19&lt;&gt;"",H19&lt;&gt;""),E19*F19*H19/1000000000*G19,0)</f>
        <v/>
      </c>
      <c r="L19" s="75">
        <f>IF(AND(E19&lt;&gt;"",F19&lt;&gt;"",G19&lt;&gt;""),IF(C19="牆",E19*F19*2/1000000*G19,E19*F19/1000000*G19),0)</f>
        <v/>
      </c>
      <c r="M19" s="75">
        <f>IF(AND(J19&lt;&gt;"",E19&lt;&gt;"",F19&lt;&gt;"",I19&lt;&gt;"",G19&lt;&gt;""),VLOOKUP(J19,'1-專案資訊'!A25:I33,4,0)*(F19/1000+2*VLOOKUP(J19,'1-專案資訊'!A25:I33,8,0)/100)*ROUNDUP(E19/I19,0)*2*G19,0)</f>
        <v/>
      </c>
      <c r="N19" s="75">
        <f>IF(AND(J19&lt;&gt;"",E19&lt;&gt;"",F19&lt;&gt;"",I19&lt;&gt;"",G19&lt;&gt;""),VLOOKUP(J19,'1-專案資訊'!A25:I33,4,0)*(E19/1000+2*VLOOKUP(J19,'1-專案資訊'!A25:I33,8,0)/100)*ROUNDUP(F19/I19,0)*2*G19,0)</f>
        <v/>
      </c>
      <c r="O19" s="75">
        <f>IF(AND(J19&lt;&gt;"",E19&lt;&gt;"",F19&lt;&gt;"",G19&lt;&gt;"",E19&gt;=300),VLOOKUP(J19,'1-專案資訊'!A25:I33,4,0)*(SQRT(E19^2+F19^2)/1000+2*VLOOKUP(J19,'1-專案資訊'!A25:I33,8,0)/100)*G19,0)</f>
        <v/>
      </c>
      <c r="P19" s="75">
        <f>M19+N19+O19</f>
        <v/>
      </c>
      <c r="Q19" s="75">
        <f>IF(OR(J19="#3 (D10)",J19="#4 (D13)",J19="#5 (D16)"),P19,0)</f>
        <v/>
      </c>
      <c r="R19" s="75">
        <f>IF(AND(J19&lt;&gt;"",J19&lt;&gt;"#3 (D10)",J19&lt;&gt;"#4 (D13)",J19&lt;&gt;"#5 (D16)"),P19,0)</f>
        <v/>
      </c>
    </row>
    <row r="20" ht="15" customHeight="1" s="48">
      <c r="A20" s="67" t="n">
        <v>16</v>
      </c>
      <c r="B20" s="70" t="n"/>
      <c r="C20" s="74" t="n"/>
      <c r="D20" s="70" t="n"/>
      <c r="E20" s="70" t="n"/>
      <c r="F20" s="70" t="n"/>
      <c r="G20" s="70" t="n"/>
      <c r="H20" s="70" t="n"/>
      <c r="I20" s="70" t="n"/>
      <c r="J20" s="74" t="n"/>
      <c r="K20" s="75">
        <f>IF(AND(E20&lt;&gt;"",F20&lt;&gt;"",G20&lt;&gt;"",H20&lt;&gt;""),E20*F20*H20/1000000000*G20,0)</f>
        <v/>
      </c>
      <c r="L20" s="75">
        <f>IF(AND(E20&lt;&gt;"",F20&lt;&gt;"",G20&lt;&gt;""),IF(C20="牆",E20*F20*2/1000000*G20,E20*F20/1000000*G20),0)</f>
        <v/>
      </c>
      <c r="M20" s="75">
        <f>IF(AND(J20&lt;&gt;"",E20&lt;&gt;"",F20&lt;&gt;"",I20&lt;&gt;"",G20&lt;&gt;""),VLOOKUP(J20,'1-專案資訊'!A25:I33,4,0)*(F20/1000+2*VLOOKUP(J20,'1-專案資訊'!A25:I33,8,0)/100)*ROUNDUP(E20/I20,0)*2*G20,0)</f>
        <v/>
      </c>
      <c r="N20" s="75">
        <f>IF(AND(J20&lt;&gt;"",E20&lt;&gt;"",F20&lt;&gt;"",I20&lt;&gt;"",G20&lt;&gt;""),VLOOKUP(J20,'1-專案資訊'!A25:I33,4,0)*(E20/1000+2*VLOOKUP(J20,'1-專案資訊'!A25:I33,8,0)/100)*ROUNDUP(F20/I20,0)*2*G20,0)</f>
        <v/>
      </c>
      <c r="O20" s="75">
        <f>IF(AND(J20&lt;&gt;"",E20&lt;&gt;"",F20&lt;&gt;"",G20&lt;&gt;"",E20&gt;=300),VLOOKUP(J20,'1-專案資訊'!A25:I33,4,0)*(SQRT(E20^2+F20^2)/1000+2*VLOOKUP(J20,'1-專案資訊'!A25:I33,8,0)/100)*G20,0)</f>
        <v/>
      </c>
      <c r="P20" s="75">
        <f>M20+N20+O20</f>
        <v/>
      </c>
      <c r="Q20" s="75">
        <f>IF(OR(J20="#3 (D10)",J20="#4 (D13)",J20="#5 (D16)"),P20,0)</f>
        <v/>
      </c>
      <c r="R20" s="75">
        <f>IF(AND(J20&lt;&gt;"",J20&lt;&gt;"#3 (D10)",J20&lt;&gt;"#4 (D13)",J20&lt;&gt;"#5 (D16)"),P20,0)</f>
        <v/>
      </c>
    </row>
    <row r="21" ht="15" customHeight="1" s="48">
      <c r="A21" s="67" t="n">
        <v>17</v>
      </c>
      <c r="B21" s="70" t="n"/>
      <c r="C21" s="74" t="n"/>
      <c r="D21" s="70" t="n"/>
      <c r="E21" s="70" t="n"/>
      <c r="F21" s="70" t="n"/>
      <c r="G21" s="70" t="n"/>
      <c r="H21" s="70" t="n"/>
      <c r="I21" s="70" t="n"/>
      <c r="J21" s="74" t="n"/>
      <c r="K21" s="75">
        <f>IF(AND(E21&lt;&gt;"",F21&lt;&gt;"",G21&lt;&gt;"",H21&lt;&gt;""),E21*F21*H21/1000000000*G21,0)</f>
        <v/>
      </c>
      <c r="L21" s="75">
        <f>IF(AND(E21&lt;&gt;"",F21&lt;&gt;"",G21&lt;&gt;""),IF(C21="牆",E21*F21*2/1000000*G21,E21*F21/1000000*G21),0)</f>
        <v/>
      </c>
      <c r="M21" s="75">
        <f>IF(AND(J21&lt;&gt;"",E21&lt;&gt;"",F21&lt;&gt;"",I21&lt;&gt;"",G21&lt;&gt;""),VLOOKUP(J21,'1-專案資訊'!A25:I33,4,0)*(F21/1000+2*VLOOKUP(J21,'1-專案資訊'!A25:I33,8,0)/100)*ROUNDUP(E21/I21,0)*2*G21,0)</f>
        <v/>
      </c>
      <c r="N21" s="75">
        <f>IF(AND(J21&lt;&gt;"",E21&lt;&gt;"",F21&lt;&gt;"",I21&lt;&gt;"",G21&lt;&gt;""),VLOOKUP(J21,'1-專案資訊'!A25:I33,4,0)*(E21/1000+2*VLOOKUP(J21,'1-專案資訊'!A25:I33,8,0)/100)*ROUNDUP(F21/I21,0)*2*G21,0)</f>
        <v/>
      </c>
      <c r="O21" s="75">
        <f>IF(AND(J21&lt;&gt;"",E21&lt;&gt;"",F21&lt;&gt;"",G21&lt;&gt;"",E21&gt;=300),VLOOKUP(J21,'1-專案資訊'!A25:I33,4,0)*(SQRT(E21^2+F21^2)/1000+2*VLOOKUP(J21,'1-專案資訊'!A25:I33,8,0)/100)*G21,0)</f>
        <v/>
      </c>
      <c r="P21" s="75">
        <f>M21+N21+O21</f>
        <v/>
      </c>
      <c r="Q21" s="75">
        <f>IF(OR(J21="#3 (D10)",J21="#4 (D13)",J21="#5 (D16)"),P21,0)</f>
        <v/>
      </c>
      <c r="R21" s="75">
        <f>IF(AND(J21&lt;&gt;"",J21&lt;&gt;"#3 (D10)",J21&lt;&gt;"#4 (D13)",J21&lt;&gt;"#5 (D16)"),P21,0)</f>
        <v/>
      </c>
    </row>
    <row r="22" ht="15" customHeight="1" s="48">
      <c r="A22" s="67" t="n">
        <v>18</v>
      </c>
      <c r="B22" s="70" t="n"/>
      <c r="C22" s="74" t="n"/>
      <c r="D22" s="70" t="n"/>
      <c r="E22" s="70" t="n"/>
      <c r="F22" s="70" t="n"/>
      <c r="G22" s="70" t="n"/>
      <c r="H22" s="70" t="n"/>
      <c r="I22" s="70" t="n"/>
      <c r="J22" s="74" t="n"/>
      <c r="K22" s="75">
        <f>IF(AND(E22&lt;&gt;"",F22&lt;&gt;"",G22&lt;&gt;"",H22&lt;&gt;""),E22*F22*H22/1000000000*G22,0)</f>
        <v/>
      </c>
      <c r="L22" s="75">
        <f>IF(AND(E22&lt;&gt;"",F22&lt;&gt;"",G22&lt;&gt;""),IF(C22="牆",E22*F22*2/1000000*G22,E22*F22/1000000*G22),0)</f>
        <v/>
      </c>
      <c r="M22" s="75">
        <f>IF(AND(J22&lt;&gt;"",E22&lt;&gt;"",F22&lt;&gt;"",I22&lt;&gt;"",G22&lt;&gt;""),VLOOKUP(J22,'1-專案資訊'!A25:I33,4,0)*(F22/1000+2*VLOOKUP(J22,'1-專案資訊'!A25:I33,8,0)/100)*ROUNDUP(E22/I22,0)*2*G22,0)</f>
        <v/>
      </c>
      <c r="N22" s="75">
        <f>IF(AND(J22&lt;&gt;"",E22&lt;&gt;"",F22&lt;&gt;"",I22&lt;&gt;"",G22&lt;&gt;""),VLOOKUP(J22,'1-專案資訊'!A25:I33,4,0)*(E22/1000+2*VLOOKUP(J22,'1-專案資訊'!A25:I33,8,0)/100)*ROUNDUP(F22/I22,0)*2*G22,0)</f>
        <v/>
      </c>
      <c r="O22" s="75">
        <f>IF(AND(J22&lt;&gt;"",E22&lt;&gt;"",F22&lt;&gt;"",G22&lt;&gt;"",E22&gt;=300),VLOOKUP(J22,'1-專案資訊'!A25:I33,4,0)*(SQRT(E22^2+F22^2)/1000+2*VLOOKUP(J22,'1-專案資訊'!A25:I33,8,0)/100)*G22,0)</f>
        <v/>
      </c>
      <c r="P22" s="75">
        <f>M22+N22+O22</f>
        <v/>
      </c>
      <c r="Q22" s="75">
        <f>IF(OR(J22="#3 (D10)",J22="#4 (D13)",J22="#5 (D16)"),P22,0)</f>
        <v/>
      </c>
      <c r="R22" s="75">
        <f>IF(AND(J22&lt;&gt;"",J22&lt;&gt;"#3 (D10)",J22&lt;&gt;"#4 (D13)",J22&lt;&gt;"#5 (D16)"),P22,0)</f>
        <v/>
      </c>
    </row>
    <row r="23" ht="15" customHeight="1" s="48">
      <c r="A23" s="67" t="n">
        <v>19</v>
      </c>
      <c r="B23" s="70" t="n"/>
      <c r="C23" s="74" t="n"/>
      <c r="D23" s="70" t="n"/>
      <c r="E23" s="70" t="n"/>
      <c r="F23" s="70" t="n"/>
      <c r="G23" s="70" t="n"/>
      <c r="H23" s="70" t="n"/>
      <c r="I23" s="70" t="n"/>
      <c r="J23" s="74" t="n"/>
      <c r="K23" s="75">
        <f>IF(AND(E23&lt;&gt;"",F23&lt;&gt;"",G23&lt;&gt;"",H23&lt;&gt;""),E23*F23*H23/1000000000*G23,0)</f>
        <v/>
      </c>
      <c r="L23" s="75">
        <f>IF(AND(E23&lt;&gt;"",F23&lt;&gt;"",G23&lt;&gt;""),IF(C23="牆",E23*F23*2/1000000*G23,E23*F23/1000000*G23),0)</f>
        <v/>
      </c>
      <c r="M23" s="75">
        <f>IF(AND(J23&lt;&gt;"",E23&lt;&gt;"",F23&lt;&gt;"",I23&lt;&gt;"",G23&lt;&gt;""),VLOOKUP(J23,'1-專案資訊'!A25:I33,4,0)*(F23/1000+2*VLOOKUP(J23,'1-專案資訊'!A25:I33,8,0)/100)*ROUNDUP(E23/I23,0)*2*G23,0)</f>
        <v/>
      </c>
      <c r="N23" s="75">
        <f>IF(AND(J23&lt;&gt;"",E23&lt;&gt;"",F23&lt;&gt;"",I23&lt;&gt;"",G23&lt;&gt;""),VLOOKUP(J23,'1-專案資訊'!A25:I33,4,0)*(E23/1000+2*VLOOKUP(J23,'1-專案資訊'!A25:I33,8,0)/100)*ROUNDUP(F23/I23,0)*2*G23,0)</f>
        <v/>
      </c>
      <c r="O23" s="75">
        <f>IF(AND(J23&lt;&gt;"",E23&lt;&gt;"",F23&lt;&gt;"",G23&lt;&gt;"",E23&gt;=300),VLOOKUP(J23,'1-專案資訊'!A25:I33,4,0)*(SQRT(E23^2+F23^2)/1000+2*VLOOKUP(J23,'1-專案資訊'!A25:I33,8,0)/100)*G23,0)</f>
        <v/>
      </c>
      <c r="P23" s="75">
        <f>M23+N23+O23</f>
        <v/>
      </c>
      <c r="Q23" s="75">
        <f>IF(OR(J23="#3 (D10)",J23="#4 (D13)",J23="#5 (D16)"),P23,0)</f>
        <v/>
      </c>
      <c r="R23" s="75">
        <f>IF(AND(J23&lt;&gt;"",J23&lt;&gt;"#3 (D10)",J23&lt;&gt;"#4 (D13)",J23&lt;&gt;"#5 (D16)"),P23,0)</f>
        <v/>
      </c>
    </row>
    <row r="24" ht="15" customHeight="1" s="48">
      <c r="A24" s="67" t="n">
        <v>20</v>
      </c>
      <c r="B24" s="70" t="n"/>
      <c r="C24" s="74" t="n"/>
      <c r="D24" s="70" t="n"/>
      <c r="E24" s="70" t="n"/>
      <c r="F24" s="70" t="n"/>
      <c r="G24" s="70" t="n"/>
      <c r="H24" s="70" t="n"/>
      <c r="I24" s="70" t="n"/>
      <c r="J24" s="74" t="n"/>
      <c r="K24" s="75">
        <f>IF(AND(E24&lt;&gt;"",F24&lt;&gt;"",G24&lt;&gt;"",H24&lt;&gt;""),E24*F24*H24/1000000000*G24,0)</f>
        <v/>
      </c>
      <c r="L24" s="75">
        <f>IF(AND(E24&lt;&gt;"",F24&lt;&gt;"",G24&lt;&gt;""),IF(C24="牆",E24*F24*2/1000000*G24,E24*F24/1000000*G24),0)</f>
        <v/>
      </c>
      <c r="M24" s="75">
        <f>IF(AND(J24&lt;&gt;"",E24&lt;&gt;"",F24&lt;&gt;"",I24&lt;&gt;"",G24&lt;&gt;""),VLOOKUP(J24,'1-專案資訊'!A25:I33,4,0)*(F24/1000+2*VLOOKUP(J24,'1-專案資訊'!A25:I33,8,0)/100)*ROUNDUP(E24/I24,0)*2*G24,0)</f>
        <v/>
      </c>
      <c r="N24" s="75">
        <f>IF(AND(J24&lt;&gt;"",E24&lt;&gt;"",F24&lt;&gt;"",I24&lt;&gt;"",G24&lt;&gt;""),VLOOKUP(J24,'1-專案資訊'!A25:I33,4,0)*(E24/1000+2*VLOOKUP(J24,'1-專案資訊'!A25:I33,8,0)/100)*ROUNDUP(F24/I24,0)*2*G24,0)</f>
        <v/>
      </c>
      <c r="O24" s="75">
        <f>IF(AND(J24&lt;&gt;"",E24&lt;&gt;"",F24&lt;&gt;"",G24&lt;&gt;"",E24&gt;=300),VLOOKUP(J24,'1-專案資訊'!A25:I33,4,0)*(SQRT(E24^2+F24^2)/1000+2*VLOOKUP(J24,'1-專案資訊'!A25:I33,8,0)/100)*G24,0)</f>
        <v/>
      </c>
      <c r="P24" s="75">
        <f>M24+N24+O24</f>
        <v/>
      </c>
      <c r="Q24" s="75">
        <f>IF(OR(J24="#3 (D10)",J24="#4 (D13)",J24="#5 (D16)"),P24,0)</f>
        <v/>
      </c>
      <c r="R24" s="75">
        <f>IF(AND(J24&lt;&gt;"",J24&lt;&gt;"#3 (D10)",J24&lt;&gt;"#4 (D13)",J24&lt;&gt;"#5 (D16)"),P24,0)</f>
        <v/>
      </c>
    </row>
    <row r="25" ht="15" customHeight="1" s="48">
      <c r="A25" s="67" t="n">
        <v>21</v>
      </c>
      <c r="B25" s="70" t="n"/>
      <c r="C25" s="74" t="n"/>
      <c r="D25" s="70" t="n"/>
      <c r="E25" s="70" t="n"/>
      <c r="F25" s="70" t="n"/>
      <c r="G25" s="70" t="n"/>
      <c r="H25" s="70" t="n"/>
      <c r="I25" s="70" t="n"/>
      <c r="J25" s="74" t="n"/>
      <c r="K25" s="75">
        <f>IF(AND(E25&lt;&gt;"",F25&lt;&gt;"",G25&lt;&gt;"",H25&lt;&gt;""),E25*F25*H25/1000000000*G25,0)</f>
        <v/>
      </c>
      <c r="L25" s="75">
        <f>IF(AND(E25&lt;&gt;"",F25&lt;&gt;"",G25&lt;&gt;""),IF(C25="牆",E25*F25*2/1000000*G25,E25*F25/1000000*G25),0)</f>
        <v/>
      </c>
      <c r="M25" s="75">
        <f>IF(AND(J25&lt;&gt;"",E25&lt;&gt;"",F25&lt;&gt;"",I25&lt;&gt;"",G25&lt;&gt;""),VLOOKUP(J25,'1-專案資訊'!A25:I33,4,0)*(F25/1000+2*VLOOKUP(J25,'1-專案資訊'!A25:I33,8,0)/100)*ROUNDUP(E25/I25,0)*2*G25,0)</f>
        <v/>
      </c>
      <c r="N25" s="75">
        <f>IF(AND(J25&lt;&gt;"",E25&lt;&gt;"",F25&lt;&gt;"",I25&lt;&gt;"",G25&lt;&gt;""),VLOOKUP(J25,'1-專案資訊'!A25:I33,4,0)*(E25/1000+2*VLOOKUP(J25,'1-專案資訊'!A25:I33,8,0)/100)*ROUNDUP(F25/I25,0)*2*G25,0)</f>
        <v/>
      </c>
      <c r="O25" s="75">
        <f>IF(AND(J25&lt;&gt;"",E25&lt;&gt;"",F25&lt;&gt;"",G25&lt;&gt;"",E25&gt;=300),VLOOKUP(J25,'1-專案資訊'!A25:I33,4,0)*(SQRT(E25^2+F25^2)/1000+2*VLOOKUP(J25,'1-專案資訊'!A25:I33,8,0)/100)*G25,0)</f>
        <v/>
      </c>
      <c r="P25" s="75">
        <f>M25+N25+O25</f>
        <v/>
      </c>
      <c r="Q25" s="75">
        <f>IF(OR(J25="#3 (D10)",J25="#4 (D13)",J25="#5 (D16)"),P25,0)</f>
        <v/>
      </c>
      <c r="R25" s="75">
        <f>IF(AND(J25&lt;&gt;"",J25&lt;&gt;"#3 (D10)",J25&lt;&gt;"#4 (D13)",J25&lt;&gt;"#5 (D16)"),P25,0)</f>
        <v/>
      </c>
    </row>
    <row r="26" ht="15" customHeight="1" s="48">
      <c r="A26" s="67" t="n">
        <v>22</v>
      </c>
      <c r="B26" s="70" t="n"/>
      <c r="C26" s="74" t="n"/>
      <c r="D26" s="70" t="n"/>
      <c r="E26" s="70" t="n"/>
      <c r="F26" s="70" t="n"/>
      <c r="G26" s="70" t="n"/>
      <c r="H26" s="70" t="n"/>
      <c r="I26" s="70" t="n"/>
      <c r="J26" s="74" t="n"/>
      <c r="K26" s="75">
        <f>IF(AND(E26&lt;&gt;"",F26&lt;&gt;"",G26&lt;&gt;"",H26&lt;&gt;""),E26*F26*H26/1000000000*G26,0)</f>
        <v/>
      </c>
      <c r="L26" s="75">
        <f>IF(AND(E26&lt;&gt;"",F26&lt;&gt;"",G26&lt;&gt;""),IF(C26="牆",E26*F26*2/1000000*G26,E26*F26/1000000*G26),0)</f>
        <v/>
      </c>
      <c r="M26" s="75">
        <f>IF(AND(J26&lt;&gt;"",E26&lt;&gt;"",F26&lt;&gt;"",I26&lt;&gt;"",G26&lt;&gt;""),VLOOKUP(J26,'1-專案資訊'!A25:I33,4,0)*(F26/1000+2*VLOOKUP(J26,'1-專案資訊'!A25:I33,8,0)/100)*ROUNDUP(E26/I26,0)*2*G26,0)</f>
        <v/>
      </c>
      <c r="N26" s="75">
        <f>IF(AND(J26&lt;&gt;"",E26&lt;&gt;"",F26&lt;&gt;"",I26&lt;&gt;"",G26&lt;&gt;""),VLOOKUP(J26,'1-專案資訊'!A25:I33,4,0)*(E26/1000+2*VLOOKUP(J26,'1-專案資訊'!A25:I33,8,0)/100)*ROUNDUP(F26/I26,0)*2*G26,0)</f>
        <v/>
      </c>
      <c r="O26" s="75">
        <f>IF(AND(J26&lt;&gt;"",E26&lt;&gt;"",F26&lt;&gt;"",G26&lt;&gt;"",E26&gt;=300),VLOOKUP(J26,'1-專案資訊'!A25:I33,4,0)*(SQRT(E26^2+F26^2)/1000+2*VLOOKUP(J26,'1-專案資訊'!A25:I33,8,0)/100)*G26,0)</f>
        <v/>
      </c>
      <c r="P26" s="75">
        <f>M26+N26+O26</f>
        <v/>
      </c>
      <c r="Q26" s="75">
        <f>IF(OR(J26="#3 (D10)",J26="#4 (D13)",J26="#5 (D16)"),P26,0)</f>
        <v/>
      </c>
      <c r="R26" s="75">
        <f>IF(AND(J26&lt;&gt;"",J26&lt;&gt;"#3 (D10)",J26&lt;&gt;"#4 (D13)",J26&lt;&gt;"#5 (D16)"),P26,0)</f>
        <v/>
      </c>
    </row>
    <row r="27" ht="15" customHeight="1" s="48">
      <c r="A27" s="67" t="n">
        <v>23</v>
      </c>
      <c r="B27" s="70" t="n"/>
      <c r="C27" s="74" t="n"/>
      <c r="D27" s="70" t="n"/>
      <c r="E27" s="70" t="n"/>
      <c r="F27" s="70" t="n"/>
      <c r="G27" s="70" t="n"/>
      <c r="H27" s="70" t="n"/>
      <c r="I27" s="70" t="n"/>
      <c r="J27" s="74" t="n"/>
      <c r="K27" s="75">
        <f>IF(AND(E27&lt;&gt;"",F27&lt;&gt;"",G27&lt;&gt;"",H27&lt;&gt;""),E27*F27*H27/1000000000*G27,0)</f>
        <v/>
      </c>
      <c r="L27" s="75">
        <f>IF(AND(E27&lt;&gt;"",F27&lt;&gt;"",G27&lt;&gt;""),IF(C27="牆",E27*F27*2/1000000*G27,E27*F27/1000000*G27),0)</f>
        <v/>
      </c>
      <c r="M27" s="75">
        <f>IF(AND(J27&lt;&gt;"",E27&lt;&gt;"",F27&lt;&gt;"",I27&lt;&gt;"",G27&lt;&gt;""),VLOOKUP(J27,'1-專案資訊'!A25:I33,4,0)*(F27/1000+2*VLOOKUP(J27,'1-專案資訊'!A25:I33,8,0)/100)*ROUNDUP(E27/I27,0)*2*G27,0)</f>
        <v/>
      </c>
      <c r="N27" s="75">
        <f>IF(AND(J27&lt;&gt;"",E27&lt;&gt;"",F27&lt;&gt;"",I27&lt;&gt;"",G27&lt;&gt;""),VLOOKUP(J27,'1-專案資訊'!A25:I33,4,0)*(E27/1000+2*VLOOKUP(J27,'1-專案資訊'!A25:I33,8,0)/100)*ROUNDUP(F27/I27,0)*2*G27,0)</f>
        <v/>
      </c>
      <c r="O27" s="75">
        <f>IF(AND(J27&lt;&gt;"",E27&lt;&gt;"",F27&lt;&gt;"",G27&lt;&gt;"",E27&gt;=300),VLOOKUP(J27,'1-專案資訊'!A25:I33,4,0)*(SQRT(E27^2+F27^2)/1000+2*VLOOKUP(J27,'1-專案資訊'!A25:I33,8,0)/100)*G27,0)</f>
        <v/>
      </c>
      <c r="P27" s="75">
        <f>M27+N27+O27</f>
        <v/>
      </c>
      <c r="Q27" s="75">
        <f>IF(OR(J27="#3 (D10)",J27="#4 (D13)",J27="#5 (D16)"),P27,0)</f>
        <v/>
      </c>
      <c r="R27" s="75">
        <f>IF(AND(J27&lt;&gt;"",J27&lt;&gt;"#3 (D10)",J27&lt;&gt;"#4 (D13)",J27&lt;&gt;"#5 (D16)"),P27,0)</f>
        <v/>
      </c>
    </row>
    <row r="28" ht="15" customHeight="1" s="48">
      <c r="A28" s="67" t="n">
        <v>24</v>
      </c>
      <c r="B28" s="70" t="n"/>
      <c r="C28" s="74" t="n"/>
      <c r="D28" s="70" t="n"/>
      <c r="E28" s="70" t="n"/>
      <c r="F28" s="70" t="n"/>
      <c r="G28" s="70" t="n"/>
      <c r="H28" s="70" t="n"/>
      <c r="I28" s="70" t="n"/>
      <c r="J28" s="74" t="n"/>
      <c r="K28" s="75">
        <f>IF(AND(E28&lt;&gt;"",F28&lt;&gt;"",G28&lt;&gt;"",H28&lt;&gt;""),E28*F28*H28/1000000000*G28,0)</f>
        <v/>
      </c>
      <c r="L28" s="75">
        <f>IF(AND(E28&lt;&gt;"",F28&lt;&gt;"",G28&lt;&gt;""),IF(C28="牆",E28*F28*2/1000000*G28,E28*F28/1000000*G28),0)</f>
        <v/>
      </c>
      <c r="M28" s="75">
        <f>IF(AND(J28&lt;&gt;"",E28&lt;&gt;"",F28&lt;&gt;"",I28&lt;&gt;"",G28&lt;&gt;""),VLOOKUP(J28,'1-專案資訊'!A25:I33,4,0)*(F28/1000+2*VLOOKUP(J28,'1-專案資訊'!A25:I33,8,0)/100)*ROUNDUP(E28/I28,0)*2*G28,0)</f>
        <v/>
      </c>
      <c r="N28" s="75">
        <f>IF(AND(J28&lt;&gt;"",E28&lt;&gt;"",F28&lt;&gt;"",I28&lt;&gt;"",G28&lt;&gt;""),VLOOKUP(J28,'1-專案資訊'!A25:I33,4,0)*(E28/1000+2*VLOOKUP(J28,'1-專案資訊'!A25:I33,8,0)/100)*ROUNDUP(F28/I28,0)*2*G28,0)</f>
        <v/>
      </c>
      <c r="O28" s="75">
        <f>IF(AND(J28&lt;&gt;"",E28&lt;&gt;"",F28&lt;&gt;"",G28&lt;&gt;"",E28&gt;=300),VLOOKUP(J28,'1-專案資訊'!A25:I33,4,0)*(SQRT(E28^2+F28^2)/1000+2*VLOOKUP(J28,'1-專案資訊'!A25:I33,8,0)/100)*G28,0)</f>
        <v/>
      </c>
      <c r="P28" s="75">
        <f>M28+N28+O28</f>
        <v/>
      </c>
      <c r="Q28" s="75">
        <f>IF(OR(J28="#3 (D10)",J28="#4 (D13)",J28="#5 (D16)"),P28,0)</f>
        <v/>
      </c>
      <c r="R28" s="75">
        <f>IF(AND(J28&lt;&gt;"",J28&lt;&gt;"#3 (D10)",J28&lt;&gt;"#4 (D13)",J28&lt;&gt;"#5 (D16)"),P28,0)</f>
        <v/>
      </c>
    </row>
    <row r="29" ht="15" customHeight="1" s="48">
      <c r="A29" s="67" t="n">
        <v>25</v>
      </c>
      <c r="B29" s="70" t="n"/>
      <c r="C29" s="74" t="n"/>
      <c r="D29" s="70" t="n"/>
      <c r="E29" s="70" t="n"/>
      <c r="F29" s="70" t="n"/>
      <c r="G29" s="70" t="n"/>
      <c r="H29" s="70" t="n"/>
      <c r="I29" s="70" t="n"/>
      <c r="J29" s="74" t="n"/>
      <c r="K29" s="75">
        <f>IF(AND(E29&lt;&gt;"",F29&lt;&gt;"",G29&lt;&gt;"",H29&lt;&gt;""),E29*F29*H29/1000000000*G29,0)</f>
        <v/>
      </c>
      <c r="L29" s="75">
        <f>IF(AND(E29&lt;&gt;"",F29&lt;&gt;"",G29&lt;&gt;""),IF(C29="牆",E29*F29*2/1000000*G29,E29*F29/1000000*G29),0)</f>
        <v/>
      </c>
      <c r="M29" s="75">
        <f>IF(AND(J29&lt;&gt;"",E29&lt;&gt;"",F29&lt;&gt;"",I29&lt;&gt;"",G29&lt;&gt;""),VLOOKUP(J29,'1-專案資訊'!A25:I33,4,0)*(F29/1000+2*VLOOKUP(J29,'1-專案資訊'!A25:I33,8,0)/100)*ROUNDUP(E29/I29,0)*2*G29,0)</f>
        <v/>
      </c>
      <c r="N29" s="75">
        <f>IF(AND(J29&lt;&gt;"",E29&lt;&gt;"",F29&lt;&gt;"",I29&lt;&gt;"",G29&lt;&gt;""),VLOOKUP(J29,'1-專案資訊'!A25:I33,4,0)*(E29/1000+2*VLOOKUP(J29,'1-專案資訊'!A25:I33,8,0)/100)*ROUNDUP(F29/I29,0)*2*G29,0)</f>
        <v/>
      </c>
      <c r="O29" s="75">
        <f>IF(AND(J29&lt;&gt;"",E29&lt;&gt;"",F29&lt;&gt;"",G29&lt;&gt;"",E29&gt;=300),VLOOKUP(J29,'1-專案資訊'!A25:I33,4,0)*(SQRT(E29^2+F29^2)/1000+2*VLOOKUP(J29,'1-專案資訊'!A25:I33,8,0)/100)*G29,0)</f>
        <v/>
      </c>
      <c r="P29" s="75">
        <f>M29+N29+O29</f>
        <v/>
      </c>
      <c r="Q29" s="75">
        <f>IF(OR(J29="#3 (D10)",J29="#4 (D13)",J29="#5 (D16)"),P29,0)</f>
        <v/>
      </c>
      <c r="R29" s="75">
        <f>IF(AND(J29&lt;&gt;"",J29&lt;&gt;"#3 (D10)",J29&lt;&gt;"#4 (D13)",J29&lt;&gt;"#5 (D16)"),P29,0)</f>
        <v/>
      </c>
    </row>
    <row r="30" ht="15" customHeight="1" s="48">
      <c r="A30" s="67" t="n">
        <v>26</v>
      </c>
      <c r="B30" s="70" t="n"/>
      <c r="C30" s="74" t="n"/>
      <c r="D30" s="70" t="n"/>
      <c r="E30" s="70" t="n"/>
      <c r="F30" s="70" t="n"/>
      <c r="G30" s="70" t="n"/>
      <c r="H30" s="70" t="n"/>
      <c r="I30" s="70" t="n"/>
      <c r="J30" s="74" t="n"/>
      <c r="K30" s="75">
        <f>IF(AND(E30&lt;&gt;"",F30&lt;&gt;"",G30&lt;&gt;"",H30&lt;&gt;""),E30*F30*H30/1000000000*G30,0)</f>
        <v/>
      </c>
      <c r="L30" s="75">
        <f>IF(AND(E30&lt;&gt;"",F30&lt;&gt;"",G30&lt;&gt;""),IF(C30="牆",E30*F30*2/1000000*G30,E30*F30/1000000*G30),0)</f>
        <v/>
      </c>
      <c r="M30" s="75">
        <f>IF(AND(J30&lt;&gt;"",E30&lt;&gt;"",F30&lt;&gt;"",I30&lt;&gt;"",G30&lt;&gt;""),VLOOKUP(J30,'1-專案資訊'!A25:I33,4,0)*(F30/1000+2*VLOOKUP(J30,'1-專案資訊'!A25:I33,8,0)/100)*ROUNDUP(E30/I30,0)*2*G30,0)</f>
        <v/>
      </c>
      <c r="N30" s="75">
        <f>IF(AND(J30&lt;&gt;"",E30&lt;&gt;"",F30&lt;&gt;"",I30&lt;&gt;"",G30&lt;&gt;""),VLOOKUP(J30,'1-專案資訊'!A25:I33,4,0)*(E30/1000+2*VLOOKUP(J30,'1-專案資訊'!A25:I33,8,0)/100)*ROUNDUP(F30/I30,0)*2*G30,0)</f>
        <v/>
      </c>
      <c r="O30" s="75">
        <f>IF(AND(J30&lt;&gt;"",E30&lt;&gt;"",F30&lt;&gt;"",G30&lt;&gt;"",E30&gt;=300),VLOOKUP(J30,'1-專案資訊'!A25:I33,4,0)*(SQRT(E30^2+F30^2)/1000+2*VLOOKUP(J30,'1-專案資訊'!A25:I33,8,0)/100)*G30,0)</f>
        <v/>
      </c>
      <c r="P30" s="75">
        <f>M30+N30+O30</f>
        <v/>
      </c>
      <c r="Q30" s="75">
        <f>IF(OR(J30="#3 (D10)",J30="#4 (D13)",J30="#5 (D16)"),P30,0)</f>
        <v/>
      </c>
      <c r="R30" s="75">
        <f>IF(AND(J30&lt;&gt;"",J30&lt;&gt;"#3 (D10)",J30&lt;&gt;"#4 (D13)",J30&lt;&gt;"#5 (D16)"),P30,0)</f>
        <v/>
      </c>
    </row>
    <row r="31" ht="15" customHeight="1" s="48">
      <c r="A31" s="67" t="n">
        <v>27</v>
      </c>
      <c r="B31" s="70" t="n"/>
      <c r="C31" s="74" t="n"/>
      <c r="D31" s="70" t="n"/>
      <c r="E31" s="70" t="n"/>
      <c r="F31" s="70" t="n"/>
      <c r="G31" s="70" t="n"/>
      <c r="H31" s="70" t="n"/>
      <c r="I31" s="70" t="n"/>
      <c r="J31" s="74" t="n"/>
      <c r="K31" s="75">
        <f>IF(AND(E31&lt;&gt;"",F31&lt;&gt;"",G31&lt;&gt;"",H31&lt;&gt;""),E31*F31*H31/1000000000*G31,0)</f>
        <v/>
      </c>
      <c r="L31" s="75">
        <f>IF(AND(E31&lt;&gt;"",F31&lt;&gt;"",G31&lt;&gt;""),IF(C31="牆",E31*F31*2/1000000*G31,E31*F31/1000000*G31),0)</f>
        <v/>
      </c>
      <c r="M31" s="75">
        <f>IF(AND(J31&lt;&gt;"",E31&lt;&gt;"",F31&lt;&gt;"",I31&lt;&gt;"",G31&lt;&gt;""),VLOOKUP(J31,'1-專案資訊'!A25:I33,4,0)*(F31/1000+2*VLOOKUP(J31,'1-專案資訊'!A25:I33,8,0)/100)*ROUNDUP(E31/I31,0)*2*G31,0)</f>
        <v/>
      </c>
      <c r="N31" s="75">
        <f>IF(AND(J31&lt;&gt;"",E31&lt;&gt;"",F31&lt;&gt;"",I31&lt;&gt;"",G31&lt;&gt;""),VLOOKUP(J31,'1-專案資訊'!A25:I33,4,0)*(E31/1000+2*VLOOKUP(J31,'1-專案資訊'!A25:I33,8,0)/100)*ROUNDUP(F31/I31,0)*2*G31,0)</f>
        <v/>
      </c>
      <c r="O31" s="75">
        <f>IF(AND(J31&lt;&gt;"",E31&lt;&gt;"",F31&lt;&gt;"",G31&lt;&gt;"",E31&gt;=300),VLOOKUP(J31,'1-專案資訊'!A25:I33,4,0)*(SQRT(E31^2+F31^2)/1000+2*VLOOKUP(J31,'1-專案資訊'!A25:I33,8,0)/100)*G31,0)</f>
        <v/>
      </c>
      <c r="P31" s="75">
        <f>M31+N31+O31</f>
        <v/>
      </c>
      <c r="Q31" s="75">
        <f>IF(OR(J31="#3 (D10)",J31="#4 (D13)",J31="#5 (D16)"),P31,0)</f>
        <v/>
      </c>
      <c r="R31" s="75">
        <f>IF(AND(J31&lt;&gt;"",J31&lt;&gt;"#3 (D10)",J31&lt;&gt;"#4 (D13)",J31&lt;&gt;"#5 (D16)"),P31,0)</f>
        <v/>
      </c>
    </row>
    <row r="32" ht="15" customHeight="1" s="48">
      <c r="A32" s="67" t="n">
        <v>28</v>
      </c>
      <c r="B32" s="70" t="n"/>
      <c r="C32" s="74" t="n"/>
      <c r="D32" s="70" t="n"/>
      <c r="E32" s="70" t="n"/>
      <c r="F32" s="70" t="n"/>
      <c r="G32" s="70" t="n"/>
      <c r="H32" s="70" t="n"/>
      <c r="I32" s="70" t="n"/>
      <c r="J32" s="74" t="n"/>
      <c r="K32" s="75">
        <f>IF(AND(E32&lt;&gt;"",F32&lt;&gt;"",G32&lt;&gt;"",H32&lt;&gt;""),E32*F32*H32/1000000000*G32,0)</f>
        <v/>
      </c>
      <c r="L32" s="75">
        <f>IF(AND(E32&lt;&gt;"",F32&lt;&gt;"",G32&lt;&gt;""),IF(C32="牆",E32*F32*2/1000000*G32,E32*F32/1000000*G32),0)</f>
        <v/>
      </c>
      <c r="M32" s="75">
        <f>IF(AND(J32&lt;&gt;"",E32&lt;&gt;"",F32&lt;&gt;"",I32&lt;&gt;"",G32&lt;&gt;""),VLOOKUP(J32,'1-專案資訊'!A25:I33,4,0)*(F32/1000+2*VLOOKUP(J32,'1-專案資訊'!A25:I33,8,0)/100)*ROUNDUP(E32/I32,0)*2*G32,0)</f>
        <v/>
      </c>
      <c r="N32" s="75">
        <f>IF(AND(J32&lt;&gt;"",E32&lt;&gt;"",F32&lt;&gt;"",I32&lt;&gt;"",G32&lt;&gt;""),VLOOKUP(J32,'1-專案資訊'!A25:I33,4,0)*(E32/1000+2*VLOOKUP(J32,'1-專案資訊'!A25:I33,8,0)/100)*ROUNDUP(F32/I32,0)*2*G32,0)</f>
        <v/>
      </c>
      <c r="O32" s="75">
        <f>IF(AND(J32&lt;&gt;"",E32&lt;&gt;"",F32&lt;&gt;"",G32&lt;&gt;"",E32&gt;=300),VLOOKUP(J32,'1-專案資訊'!A25:I33,4,0)*(SQRT(E32^2+F32^2)/1000+2*VLOOKUP(J32,'1-專案資訊'!A25:I33,8,0)/100)*G32,0)</f>
        <v/>
      </c>
      <c r="P32" s="75">
        <f>M32+N32+O32</f>
        <v/>
      </c>
      <c r="Q32" s="75">
        <f>IF(OR(J32="#3 (D10)",J32="#4 (D13)",J32="#5 (D16)"),P32,0)</f>
        <v/>
      </c>
      <c r="R32" s="75">
        <f>IF(AND(J32&lt;&gt;"",J32&lt;&gt;"#3 (D10)",J32&lt;&gt;"#4 (D13)",J32&lt;&gt;"#5 (D16)"),P32,0)</f>
        <v/>
      </c>
    </row>
    <row r="33" ht="15" customHeight="1" s="48">
      <c r="A33" s="67" t="n">
        <v>29</v>
      </c>
      <c r="B33" s="70" t="n"/>
      <c r="C33" s="74" t="n"/>
      <c r="D33" s="70" t="n"/>
      <c r="E33" s="70" t="n"/>
      <c r="F33" s="70" t="n"/>
      <c r="G33" s="70" t="n"/>
      <c r="H33" s="70" t="n"/>
      <c r="I33" s="70" t="n"/>
      <c r="J33" s="74" t="n"/>
      <c r="K33" s="75">
        <f>IF(AND(E33&lt;&gt;"",F33&lt;&gt;"",G33&lt;&gt;"",H33&lt;&gt;""),E33*F33*H33/1000000000*G33,0)</f>
        <v/>
      </c>
      <c r="L33" s="75">
        <f>IF(AND(E33&lt;&gt;"",F33&lt;&gt;"",G33&lt;&gt;""),IF(C33="牆",E33*F33*2/1000000*G33,E33*F33/1000000*G33),0)</f>
        <v/>
      </c>
      <c r="M33" s="75">
        <f>IF(AND(J33&lt;&gt;"",E33&lt;&gt;"",F33&lt;&gt;"",I33&lt;&gt;"",G33&lt;&gt;""),VLOOKUP(J33,'1-專案資訊'!A25:I33,4,0)*(F33/1000+2*VLOOKUP(J33,'1-專案資訊'!A25:I33,8,0)/100)*ROUNDUP(E33/I33,0)*2*G33,0)</f>
        <v/>
      </c>
      <c r="N33" s="75">
        <f>IF(AND(J33&lt;&gt;"",E33&lt;&gt;"",F33&lt;&gt;"",I33&lt;&gt;"",G33&lt;&gt;""),VLOOKUP(J33,'1-專案資訊'!A25:I33,4,0)*(E33/1000+2*VLOOKUP(J33,'1-專案資訊'!A25:I33,8,0)/100)*ROUNDUP(F33/I33,0)*2*G33,0)</f>
        <v/>
      </c>
      <c r="O33" s="75">
        <f>IF(AND(J33&lt;&gt;"",E33&lt;&gt;"",F33&lt;&gt;"",G33&lt;&gt;"",E33&gt;=300),VLOOKUP(J33,'1-專案資訊'!A25:I33,4,0)*(SQRT(E33^2+F33^2)/1000+2*VLOOKUP(J33,'1-專案資訊'!A25:I33,8,0)/100)*G33,0)</f>
        <v/>
      </c>
      <c r="P33" s="75">
        <f>M33+N33+O33</f>
        <v/>
      </c>
      <c r="Q33" s="75">
        <f>IF(OR(J33="#3 (D10)",J33="#4 (D13)",J33="#5 (D16)"),P33,0)</f>
        <v/>
      </c>
      <c r="R33" s="75">
        <f>IF(AND(J33&lt;&gt;"",J33&lt;&gt;"#3 (D10)",J33&lt;&gt;"#4 (D13)",J33&lt;&gt;"#5 (D16)"),P33,0)</f>
        <v/>
      </c>
    </row>
    <row r="34" ht="15" customHeight="1" s="48">
      <c r="A34" s="67" t="n">
        <v>30</v>
      </c>
      <c r="B34" s="70" t="n"/>
      <c r="C34" s="74" t="n"/>
      <c r="D34" s="70" t="n"/>
      <c r="E34" s="70" t="n"/>
      <c r="F34" s="70" t="n"/>
      <c r="G34" s="70" t="n"/>
      <c r="H34" s="70" t="n"/>
      <c r="I34" s="70" t="n"/>
      <c r="J34" s="74" t="n"/>
      <c r="K34" s="75">
        <f>IF(AND(E34&lt;&gt;"",F34&lt;&gt;"",G34&lt;&gt;"",H34&lt;&gt;""),E34*F34*H34/1000000000*G34,0)</f>
        <v/>
      </c>
      <c r="L34" s="75">
        <f>IF(AND(E34&lt;&gt;"",F34&lt;&gt;"",G34&lt;&gt;""),IF(C34="牆",E34*F34*2/1000000*G34,E34*F34/1000000*G34),0)</f>
        <v/>
      </c>
      <c r="M34" s="75">
        <f>IF(AND(J34&lt;&gt;"",E34&lt;&gt;"",F34&lt;&gt;"",I34&lt;&gt;"",G34&lt;&gt;""),VLOOKUP(J34,'1-專案資訊'!A25:I33,4,0)*(F34/1000+2*VLOOKUP(J34,'1-專案資訊'!A25:I33,8,0)/100)*ROUNDUP(E34/I34,0)*2*G34,0)</f>
        <v/>
      </c>
      <c r="N34" s="75">
        <f>IF(AND(J34&lt;&gt;"",E34&lt;&gt;"",F34&lt;&gt;"",I34&lt;&gt;"",G34&lt;&gt;""),VLOOKUP(J34,'1-專案資訊'!A25:I33,4,0)*(E34/1000+2*VLOOKUP(J34,'1-專案資訊'!A25:I33,8,0)/100)*ROUNDUP(F34/I34,0)*2*G34,0)</f>
        <v/>
      </c>
      <c r="O34" s="75">
        <f>IF(AND(J34&lt;&gt;"",E34&lt;&gt;"",F34&lt;&gt;"",G34&lt;&gt;"",E34&gt;=300),VLOOKUP(J34,'1-專案資訊'!A25:I33,4,0)*(SQRT(E34^2+F34^2)/1000+2*VLOOKUP(J34,'1-專案資訊'!A25:I33,8,0)/100)*G34,0)</f>
        <v/>
      </c>
      <c r="P34" s="75">
        <f>M34+N34+O34</f>
        <v/>
      </c>
      <c r="Q34" s="75">
        <f>IF(OR(J34="#3 (D10)",J34="#4 (D13)",J34="#5 (D16)"),P34,0)</f>
        <v/>
      </c>
      <c r="R34" s="75">
        <f>IF(AND(J34&lt;&gt;"",J34&lt;&gt;"#3 (D10)",J34&lt;&gt;"#4 (D13)",J34&lt;&gt;"#5 (D16)"),P34,0)</f>
        <v/>
      </c>
    </row>
    <row r="35" ht="16.5" customHeight="1" s="48">
      <c r="G35" s="76" t="inlineStr">
        <is>
          <t>合計</t>
        </is>
      </c>
      <c r="K35" s="77">
        <f>SUM(K5:K34)</f>
        <v/>
      </c>
      <c r="L35" s="77">
        <f>SUM(L5:L34)</f>
        <v/>
      </c>
      <c r="M35" s="77">
        <f>SUM(M5:M34)</f>
        <v/>
      </c>
      <c r="N35" s="77">
        <f>SUM(N5:N34)</f>
        <v/>
      </c>
      <c r="O35" s="77">
        <f>SUM(O5:O34)</f>
        <v/>
      </c>
      <c r="P35" s="77">
        <f>SUM(P5:P34)</f>
        <v/>
      </c>
      <c r="Q35" s="77">
        <f>SUM(Q5:Q34)</f>
        <v/>
      </c>
      <c r="R35" s="77">
        <f>SUM(R5:R34)</f>
        <v/>
      </c>
    </row>
  </sheetData>
  <mergeCells count="2">
    <mergeCell ref="A2:R2"/>
    <mergeCell ref="A1:R1"/>
  </mergeCells>
  <dataValidations count="2">
    <dataValidation sqref="C5:C34" showDropDown="0" showInputMessage="0" showErrorMessage="0" allowBlank="1" type="list" errorStyle="stop" operator="between">
      <formula1>"樓板,牆"</formula1>
      <formula2>0</formula2>
    </dataValidation>
    <dataValidation sqref="J5:J34" showDropDown="0" showInputMessage="0" showErrorMessage="0" allowBlank="1" type="list" errorStyle="stop" operator="between">
      <formula1>"#3 (D10),#4 (D13),#5 (D16),#6 (D19),#7 (D22)"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E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7" min="1" max="1"/>
    <col width="14" customWidth="1" style="47" min="2" max="5"/>
  </cols>
  <sheetData>
    <row r="1" ht="23.25" customHeight="1" s="48">
      <c r="A1" s="81" t="inlineStr">
        <is>
          <t>RC 數量 / 費用 彙總報表</t>
        </is>
      </c>
    </row>
    <row r="2" ht="15" customHeight="1" s="48">
      <c r="A2" s="82" t="inlineStr">
        <is>
          <t>本表自動產出，請勿手動修改</t>
        </is>
      </c>
    </row>
    <row r="4" ht="15" customHeight="1" s="48">
      <c r="A4" s="53" t="inlineStr">
        <is>
          <t>▎ 一、混凝土</t>
        </is>
      </c>
    </row>
    <row r="5" ht="15" customHeight="1" s="48">
      <c r="A5" s="59" t="inlineStr">
        <is>
          <t>構件</t>
        </is>
      </c>
      <c r="B5" s="60" t="inlineStr">
        <is>
          <t>fc'=280 (m3)</t>
        </is>
      </c>
      <c r="C5" s="60" t="inlineStr">
        <is>
          <t>fc'=210 (m3)</t>
        </is>
      </c>
    </row>
    <row r="6" ht="15" customHeight="1" s="48">
      <c r="A6" s="67" t="inlineStr">
        <is>
          <t>柱</t>
        </is>
      </c>
      <c r="B6" s="83">
        <f>'3-柱'!N35</f>
        <v/>
      </c>
      <c r="C6" s="83" t="n">
        <v>0</v>
      </c>
    </row>
    <row r="7" ht="15" customHeight="1" s="48">
      <c r="A7" s="67" t="inlineStr">
        <is>
          <t>梁</t>
        </is>
      </c>
      <c r="B7" s="83">
        <f>'4-梁'!Q35</f>
        <v/>
      </c>
      <c r="C7" s="83" t="n">
        <v>0</v>
      </c>
    </row>
    <row r="8" ht="15" customHeight="1" s="48">
      <c r="A8" s="67" t="inlineStr">
        <is>
          <t>樓板</t>
        </is>
      </c>
      <c r="B8" s="83">
        <f>'5-樓板'!Q35</f>
        <v/>
      </c>
      <c r="C8" s="83" t="n">
        <v>0</v>
      </c>
    </row>
    <row r="9" ht="15" customHeight="1" s="48">
      <c r="A9" s="67" t="inlineStr">
        <is>
          <t>牆</t>
        </is>
      </c>
      <c r="B9" s="83">
        <f>'6-牆'!N35</f>
        <v/>
      </c>
      <c r="C9" s="83" t="n">
        <v>0</v>
      </c>
    </row>
    <row r="10" ht="15" customHeight="1" s="48">
      <c r="A10" s="67" t="inlineStr">
        <is>
          <t>基礎</t>
        </is>
      </c>
      <c r="B10" s="83">
        <f>'8-基礎'!O35</f>
        <v/>
      </c>
      <c r="C10" s="83" t="n">
        <v>0</v>
      </c>
    </row>
    <row r="11" ht="15" customHeight="1" s="48">
      <c r="A11" s="67" t="inlineStr">
        <is>
          <t>設備基礎</t>
        </is>
      </c>
      <c r="B11" s="83">
        <f>'9-設備基礎'!O35</f>
        <v/>
      </c>
      <c r="C11" s="83" t="n">
        <v>0</v>
      </c>
    </row>
    <row r="12" ht="15" customHeight="1" s="48">
      <c r="A12" s="67" t="inlineStr">
        <is>
          <t>樓梯</t>
        </is>
      </c>
      <c r="B12" s="83">
        <f>'10-樓梯'!N35</f>
        <v/>
      </c>
      <c r="C12" s="83" t="n">
        <v>0</v>
      </c>
    </row>
    <row r="13" ht="15" customHeight="1" s="48">
      <c r="A13" s="67" t="inlineStr">
        <is>
          <t>地坪</t>
        </is>
      </c>
      <c r="B13" s="83" t="n">
        <v>0</v>
      </c>
      <c r="C13" s="83">
        <f>'7-地坪'!U35</f>
        <v/>
      </c>
    </row>
    <row r="14" ht="15" customHeight="1" s="48">
      <c r="A14" s="67" t="inlineStr">
        <is>
          <t>開口扣除(減項)</t>
        </is>
      </c>
      <c r="B14" s="83">
        <f>-'11-開口扣除'!K35</f>
        <v/>
      </c>
      <c r="C14" s="83" t="n">
        <v>0</v>
      </c>
    </row>
    <row r="15" ht="16.5" customHeight="1" s="48">
      <c r="A15" s="84" t="inlineStr">
        <is>
          <t>混凝土合計</t>
        </is>
      </c>
      <c r="B15" s="77">
        <f>SUM(B6:B14)</f>
        <v/>
      </c>
      <c r="C15" s="77">
        <f>SUM(C6:C14)</f>
        <v/>
      </c>
    </row>
    <row r="17" ht="15" customHeight="1" s="48">
      <c r="A17" s="53" t="inlineStr">
        <is>
          <t>▎ 二、PC墊層 fc'=140</t>
        </is>
      </c>
    </row>
    <row r="18" ht="15" customHeight="1" s="48">
      <c r="A18" s="59" t="inlineStr">
        <is>
          <t>構件</t>
        </is>
      </c>
      <c r="B18" s="59" t="inlineStr">
        <is>
          <t>體積 (m3)</t>
        </is>
      </c>
    </row>
    <row r="19" ht="15" customHeight="1" s="48">
      <c r="A19" s="67" t="inlineStr">
        <is>
          <t>地坪</t>
        </is>
      </c>
      <c r="B19" s="83">
        <f>'7-地坪'!T35</f>
        <v/>
      </c>
    </row>
    <row r="20" ht="15" customHeight="1" s="48">
      <c r="A20" s="67" t="inlineStr">
        <is>
          <t>基礎</t>
        </is>
      </c>
      <c r="B20" s="83">
        <f>'8-基礎'!N35</f>
        <v/>
      </c>
    </row>
    <row r="21" ht="15" customHeight="1" s="48">
      <c r="A21" s="67" t="inlineStr">
        <is>
          <t>設備基礎</t>
        </is>
      </c>
      <c r="B21" s="83">
        <f>'9-設備基礎'!N35</f>
        <v/>
      </c>
    </row>
    <row r="22" ht="16.5" customHeight="1" s="48">
      <c r="A22" s="85" t="inlineStr">
        <is>
          <t>PC合計 (m3)</t>
        </is>
      </c>
      <c r="B22" s="77">
        <f>SUM(B19:B21)</f>
        <v/>
      </c>
    </row>
    <row r="24" ht="15" customHeight="1" s="48">
      <c r="A24" s="53" t="inlineStr">
        <is>
          <t>▎ 三、鋼筋</t>
        </is>
      </c>
    </row>
    <row r="25" ht="15" customHeight="1" s="48">
      <c r="A25" s="59" t="inlineStr">
        <is>
          <t>構件</t>
        </is>
      </c>
      <c r="B25" s="60" t="inlineStr">
        <is>
          <t>SD280 (kg)</t>
        </is>
      </c>
      <c r="C25" s="60" t="inlineStr">
        <is>
          <t>SD280 (噸)</t>
        </is>
      </c>
      <c r="D25" s="60" t="inlineStr">
        <is>
          <t>SD420 (kg)</t>
        </is>
      </c>
      <c r="E25" s="60" t="inlineStr">
        <is>
          <t>SD420 (噸)</t>
        </is>
      </c>
    </row>
    <row r="26" ht="15" customHeight="1" s="48">
      <c r="A26" s="67" t="inlineStr">
        <is>
          <t>柱</t>
        </is>
      </c>
      <c r="B26" s="83">
        <f>'3-柱'!U35</f>
        <v/>
      </c>
      <c r="C26" s="83">
        <f>B26/1000</f>
        <v/>
      </c>
      <c r="D26" s="83">
        <f>'3-柱'!V35</f>
        <v/>
      </c>
      <c r="E26" s="83">
        <f>D26/1000</f>
        <v/>
      </c>
    </row>
    <row r="27" ht="15" customHeight="1" s="48">
      <c r="A27" s="67" t="inlineStr">
        <is>
          <t>梁</t>
        </is>
      </c>
      <c r="B27" s="83">
        <f>'4-梁'!X35</f>
        <v/>
      </c>
      <c r="C27" s="83">
        <f>B27/1000</f>
        <v/>
      </c>
      <c r="D27" s="83">
        <f>'4-梁'!Y35</f>
        <v/>
      </c>
      <c r="E27" s="83">
        <f>D27/1000</f>
        <v/>
      </c>
    </row>
    <row r="28" ht="15" customHeight="1" s="48">
      <c r="A28" s="67" t="inlineStr">
        <is>
          <t>樓板</t>
        </is>
      </c>
      <c r="B28" s="83">
        <f>'5-樓板'!Y35</f>
        <v/>
      </c>
      <c r="C28" s="83">
        <f>B28/1000</f>
        <v/>
      </c>
      <c r="D28" s="83">
        <f>'5-樓板'!Z35</f>
        <v/>
      </c>
      <c r="E28" s="83">
        <f>D28/1000</f>
        <v/>
      </c>
    </row>
    <row r="29" ht="15" customHeight="1" s="48">
      <c r="A29" s="67" t="inlineStr">
        <is>
          <t>牆</t>
        </is>
      </c>
      <c r="B29" s="83">
        <f>'6-牆'!R35</f>
        <v/>
      </c>
      <c r="C29" s="83">
        <f>B29/1000</f>
        <v/>
      </c>
      <c r="D29" s="83">
        <f>'6-牆'!S35</f>
        <v/>
      </c>
      <c r="E29" s="83">
        <f>D29/1000</f>
        <v/>
      </c>
    </row>
    <row r="30" ht="15" customHeight="1" s="48">
      <c r="A30" s="67" t="inlineStr">
        <is>
          <t>地坪</t>
        </is>
      </c>
      <c r="B30" s="83">
        <f>'7-地坪'!AB35</f>
        <v/>
      </c>
      <c r="C30" s="83">
        <f>B30/1000</f>
        <v/>
      </c>
      <c r="D30" s="83">
        <f>'7-地坪'!AC35</f>
        <v/>
      </c>
      <c r="E30" s="83">
        <f>D30/1000</f>
        <v/>
      </c>
    </row>
    <row r="31" ht="15" customHeight="1" s="48">
      <c r="A31" s="67" t="inlineStr">
        <is>
          <t>基礎</t>
        </is>
      </c>
      <c r="B31" s="83">
        <f>'8-基礎'!S35</f>
        <v/>
      </c>
      <c r="C31" s="83">
        <f>B31/1000</f>
        <v/>
      </c>
      <c r="D31" s="83">
        <f>'8-基礎'!T35</f>
        <v/>
      </c>
      <c r="E31" s="83">
        <f>D31/1000</f>
        <v/>
      </c>
    </row>
    <row r="32" ht="15" customHeight="1" s="48">
      <c r="A32" s="67" t="inlineStr">
        <is>
          <t>設備基礎</t>
        </is>
      </c>
      <c r="B32" s="83">
        <f>'9-設備基礎'!X35</f>
        <v/>
      </c>
      <c r="C32" s="83">
        <f>B32/1000</f>
        <v/>
      </c>
      <c r="D32" s="83">
        <f>'9-設備基礎'!Y35</f>
        <v/>
      </c>
      <c r="E32" s="83">
        <f>D32/1000</f>
        <v/>
      </c>
    </row>
    <row r="33" ht="15" customHeight="1" s="48">
      <c r="A33" s="67" t="inlineStr">
        <is>
          <t>樓梯</t>
        </is>
      </c>
      <c r="B33" s="83">
        <f>'10-樓梯'!S35</f>
        <v/>
      </c>
      <c r="C33" s="83">
        <f>B33/1000</f>
        <v/>
      </c>
      <c r="D33" s="83">
        <f>'10-樓梯'!T35</f>
        <v/>
      </c>
      <c r="E33" s="83">
        <f>D33/1000</f>
        <v/>
      </c>
    </row>
    <row r="34" ht="15" customHeight="1" s="48">
      <c r="A34" s="67" t="inlineStr">
        <is>
          <t>開口補強</t>
        </is>
      </c>
      <c r="B34" s="83">
        <f>'11-開口扣除'!Q35</f>
        <v/>
      </c>
      <c r="C34" s="83">
        <f>B34/1000</f>
        <v/>
      </c>
      <c r="D34" s="83">
        <f>'11-開口扣除'!R35</f>
        <v/>
      </c>
      <c r="E34" s="83">
        <f>D34/1000</f>
        <v/>
      </c>
    </row>
    <row r="35" ht="16.5" customHeight="1" s="48">
      <c r="A35" s="86" t="inlineStr">
        <is>
          <t>SD280小計</t>
        </is>
      </c>
      <c r="B35" s="87">
        <f>SUM(B26:B34)</f>
        <v/>
      </c>
      <c r="C35" s="87">
        <f>B35/1000</f>
        <v/>
      </c>
    </row>
    <row r="36" ht="16.5" customHeight="1" s="48">
      <c r="A36" s="85" t="inlineStr">
        <is>
          <t>SD420小計</t>
        </is>
      </c>
      <c r="D36" s="77">
        <f>SUM(D26:D34)</f>
        <v/>
      </c>
      <c r="E36" s="77">
        <f>D36/1000</f>
        <v/>
      </c>
    </row>
    <row r="38" ht="15" customHeight="1" s="48">
      <c r="A38" s="53" t="inlineStr">
        <is>
          <t>▎ 四、鋼絲網 WWM</t>
        </is>
      </c>
    </row>
    <row r="39" ht="15" customHeight="1" s="48">
      <c r="A39" s="59" t="inlineStr">
        <is>
          <t>構件</t>
        </is>
      </c>
      <c r="B39" s="59" t="inlineStr">
        <is>
          <t>重量 (kg)</t>
        </is>
      </c>
      <c r="C39" s="59" t="inlineStr">
        <is>
          <t>重量 (噸)</t>
        </is>
      </c>
    </row>
    <row r="40" ht="15" customHeight="1" s="48">
      <c r="A40" s="67" t="inlineStr">
        <is>
          <t>樓板</t>
        </is>
      </c>
      <c r="B40" s="83">
        <f>'5-樓板'!T35</f>
        <v/>
      </c>
      <c r="C40" s="83">
        <f>B40/1000</f>
        <v/>
      </c>
    </row>
    <row r="41" ht="15" customHeight="1" s="48">
      <c r="A41" s="67" t="inlineStr">
        <is>
          <t>牆</t>
        </is>
      </c>
      <c r="B41" s="83">
        <f>'6-牆'!P35</f>
        <v/>
      </c>
      <c r="C41" s="83">
        <f>B41/1000</f>
        <v/>
      </c>
    </row>
    <row r="42" ht="15" customHeight="1" s="48">
      <c r="A42" s="67" t="inlineStr">
        <is>
          <t>地坪</t>
        </is>
      </c>
      <c r="B42" s="83">
        <f>'7-地坪'!Y35</f>
        <v/>
      </c>
      <c r="C42" s="83">
        <f>B42/1000</f>
        <v/>
      </c>
    </row>
    <row r="43" ht="15" customHeight="1" s="48">
      <c r="A43" s="67" t="inlineStr">
        <is>
          <t>設備基礎</t>
        </is>
      </c>
      <c r="B43" s="83">
        <f>'9-設備基礎'!T35</f>
        <v/>
      </c>
      <c r="C43" s="83">
        <f>B43/1000</f>
        <v/>
      </c>
    </row>
    <row r="44" ht="16.5" customHeight="1" s="48">
      <c r="A44" s="84" t="inlineStr">
        <is>
          <t>鋼絲網合計</t>
        </is>
      </c>
      <c r="B44" s="77">
        <f>SUM(B40:B43)</f>
        <v/>
      </c>
      <c r="C44" s="77">
        <f>B44/1000</f>
        <v/>
      </c>
    </row>
    <row r="46" ht="15" customHeight="1" s="48">
      <c r="A46" s="53" t="inlineStr">
        <is>
          <t>▎ 五、模板 (m2)</t>
        </is>
      </c>
    </row>
    <row r="47" ht="15" customHeight="1" s="48">
      <c r="A47" s="59" t="inlineStr">
        <is>
          <t>構件</t>
        </is>
      </c>
      <c r="B47" s="59" t="inlineStr">
        <is>
          <t>面積 (m2)</t>
        </is>
      </c>
    </row>
    <row r="48" ht="15" customHeight="1" s="48">
      <c r="A48" s="67" t="inlineStr">
        <is>
          <t>柱</t>
        </is>
      </c>
      <c r="B48" s="83">
        <f>'3-柱'!R35</f>
        <v/>
      </c>
    </row>
    <row r="49" ht="15" customHeight="1" s="48">
      <c r="A49" s="67" t="inlineStr">
        <is>
          <t>梁</t>
        </is>
      </c>
      <c r="B49" s="83">
        <f>'4-梁'!U35</f>
        <v/>
      </c>
    </row>
    <row r="50" ht="15" customHeight="1" s="48">
      <c r="A50" s="67" t="inlineStr">
        <is>
          <t>樓板</t>
        </is>
      </c>
      <c r="B50" s="83">
        <f>'5-樓板'!U35</f>
        <v/>
      </c>
    </row>
    <row r="51" ht="15" customHeight="1" s="48">
      <c r="A51" s="67" t="inlineStr">
        <is>
          <t>牆</t>
        </is>
      </c>
      <c r="B51" s="83">
        <f>'6-牆'!Q35</f>
        <v/>
      </c>
    </row>
    <row r="52" ht="15" customHeight="1" s="48">
      <c r="A52" s="67" t="inlineStr">
        <is>
          <t>基礎</t>
        </is>
      </c>
      <c r="B52" s="83">
        <f>'8-基礎'!R35</f>
        <v/>
      </c>
    </row>
    <row r="53" ht="15" customHeight="1" s="48">
      <c r="A53" s="67" t="inlineStr">
        <is>
          <t>設備基礎</t>
        </is>
      </c>
      <c r="B53" s="83">
        <f>'9-設備基礎'!V35</f>
        <v/>
      </c>
    </row>
    <row r="54" ht="15" customHeight="1" s="48">
      <c r="A54" s="67" t="inlineStr">
        <is>
          <t>樓梯</t>
        </is>
      </c>
      <c r="B54" s="83">
        <f>'10-樓梯'!Q35</f>
        <v/>
      </c>
    </row>
    <row r="55" ht="15" customHeight="1" s="48">
      <c r="A55" s="67" t="inlineStr">
        <is>
          <t>開口扣除(減項)</t>
        </is>
      </c>
      <c r="B55" s="83">
        <f>-'11-開口扣除'!L35</f>
        <v/>
      </c>
    </row>
    <row r="56" ht="16.5" customHeight="1" s="48">
      <c r="A56" s="84" t="inlineStr">
        <is>
          <t>模板合計 (m2)</t>
        </is>
      </c>
      <c r="B56" s="77">
        <f>SUM(B48:B55)</f>
        <v/>
      </c>
    </row>
    <row r="58" ht="15" customHeight="1" s="48">
      <c r="A58" s="53" t="inlineStr">
        <is>
          <t>▎ 六、粉光 (m2)</t>
        </is>
      </c>
    </row>
    <row r="59" ht="15" customHeight="1" s="48">
      <c r="A59" s="59" t="inlineStr">
        <is>
          <t>構件</t>
        </is>
      </c>
      <c r="B59" s="59" t="inlineStr">
        <is>
          <t>面積 (m2)</t>
        </is>
      </c>
    </row>
    <row r="60" ht="15" customHeight="1" s="48">
      <c r="A60" s="67" t="inlineStr">
        <is>
          <t>樓板</t>
        </is>
      </c>
      <c r="B60" s="83">
        <f>'5-樓板'!V35</f>
        <v/>
      </c>
    </row>
    <row r="61" ht="15" customHeight="1" s="48">
      <c r="A61" s="67" t="inlineStr">
        <is>
          <t>地坪</t>
        </is>
      </c>
      <c r="B61" s="83">
        <f>'7-地坪'!AA35</f>
        <v/>
      </c>
    </row>
    <row r="62" ht="15" customHeight="1" s="48">
      <c r="A62" s="67" t="inlineStr">
        <is>
          <t>設備基礎</t>
        </is>
      </c>
      <c r="B62" s="83">
        <f>'9-設備基礎'!W35</f>
        <v/>
      </c>
    </row>
    <row r="63" ht="15" customHeight="1" s="48">
      <c r="A63" s="67" t="inlineStr">
        <is>
          <t>樓梯</t>
        </is>
      </c>
      <c r="B63" s="83">
        <f>'10-樓梯'!R35</f>
        <v/>
      </c>
    </row>
    <row r="64" ht="16.5" customHeight="1" s="48">
      <c r="A64" s="84" t="inlineStr">
        <is>
          <t>粉光合計 (m2)</t>
        </is>
      </c>
      <c r="B64" s="77">
        <f>SUM(B60:B63)</f>
        <v/>
      </c>
    </row>
    <row r="66" ht="15" customHeight="1" s="48">
      <c r="A66" s="53" t="inlineStr">
        <is>
          <t>▎ 七、土方 (m3)</t>
        </is>
      </c>
    </row>
    <row r="67" ht="15" customHeight="1" s="48">
      <c r="A67" s="59" t="inlineStr">
        <is>
          <t>項目</t>
        </is>
      </c>
      <c r="B67" s="59" t="inlineStr">
        <is>
          <t>體積 (m3)</t>
        </is>
      </c>
    </row>
    <row r="68" ht="15" customHeight="1" s="48">
      <c r="A68" s="67" t="inlineStr">
        <is>
          <t>開挖-地坪</t>
        </is>
      </c>
      <c r="B68" s="83">
        <f>'7-地坪'!S35</f>
        <v/>
      </c>
    </row>
    <row r="69" ht="15" customHeight="1" s="48">
      <c r="A69" s="67" t="inlineStr">
        <is>
          <t>開挖-基礎</t>
        </is>
      </c>
      <c r="B69" s="83">
        <f>'8-基礎'!M35</f>
        <v/>
      </c>
    </row>
    <row r="70" ht="15" customHeight="1" s="48">
      <c r="A70" s="67" t="inlineStr">
        <is>
          <t>開挖-設備基礎</t>
        </is>
      </c>
      <c r="B70" s="83">
        <f>'9-設備基礎'!M35</f>
        <v/>
      </c>
    </row>
    <row r="71" ht="15" customHeight="1" s="48">
      <c r="A71" s="67" t="inlineStr">
        <is>
          <t>回填-地坪</t>
        </is>
      </c>
      <c r="B71" s="83">
        <f>'7-地坪'!V35</f>
        <v/>
      </c>
    </row>
    <row r="72" ht="15" customHeight="1" s="48">
      <c r="A72" s="67" t="inlineStr">
        <is>
          <t>回填-基礎</t>
        </is>
      </c>
      <c r="B72" s="83">
        <f>'8-基礎'!P35</f>
        <v/>
      </c>
    </row>
    <row r="73" ht="15" customHeight="1" s="48">
      <c r="A73" s="67" t="inlineStr">
        <is>
          <t>回填-設備基礎</t>
        </is>
      </c>
      <c r="B73" s="83">
        <f>'9-設備基礎'!U35</f>
        <v/>
      </c>
    </row>
    <row r="74" ht="16.5" customHeight="1" s="48">
      <c r="A74" s="84" t="inlineStr">
        <is>
          <t>開挖合計 (m3)</t>
        </is>
      </c>
      <c r="B74" s="77">
        <f>SUM(B68:B70)</f>
        <v/>
      </c>
    </row>
    <row r="75" ht="16.5" customHeight="1" s="48">
      <c r="A75" s="84" t="inlineStr">
        <is>
          <t>回填合計 (m3)</t>
        </is>
      </c>
      <c r="B75" s="77">
        <f>SUM(B71:B73)</f>
        <v/>
      </c>
    </row>
    <row r="77" ht="15" customHeight="1" s="48">
      <c r="A77" s="53" t="inlineStr">
        <is>
          <t>▎ 八、搭接統計</t>
        </is>
      </c>
    </row>
    <row r="78" ht="15" customHeight="1" s="48">
      <c r="A78" s="59" t="inlineStr">
        <is>
          <t>構件</t>
        </is>
      </c>
      <c r="B78" s="59" t="inlineStr">
        <is>
          <t>搭接總次數</t>
        </is>
      </c>
      <c r="C78" s="59" t="inlineStr">
        <is>
          <t>搭接長度 (m)</t>
        </is>
      </c>
    </row>
    <row r="79" ht="15" customHeight="1" s="48">
      <c r="A79" s="67" t="inlineStr">
        <is>
          <t>柱</t>
        </is>
      </c>
      <c r="B79" s="88">
        <f>'3-柱'!S35</f>
        <v/>
      </c>
      <c r="C79" s="83">
        <f>'3-柱'!T35</f>
        <v/>
      </c>
    </row>
    <row r="80" ht="15" customHeight="1" s="48">
      <c r="A80" s="67" t="inlineStr">
        <is>
          <t>梁</t>
        </is>
      </c>
      <c r="B80" s="88">
        <f>'4-梁'!V35</f>
        <v/>
      </c>
      <c r="C80" s="83">
        <f>'4-梁'!W35</f>
        <v/>
      </c>
    </row>
    <row r="81" ht="15" customHeight="1" s="48">
      <c r="A81" s="67" t="inlineStr">
        <is>
          <t>樓板</t>
        </is>
      </c>
      <c r="B81" s="88">
        <f>'5-樓板'!W35</f>
        <v/>
      </c>
      <c r="C81" s="83">
        <f>'5-樓板'!X35</f>
        <v/>
      </c>
    </row>
    <row r="82" ht="16.5" customHeight="1" s="48">
      <c r="A82" s="84" t="inlineStr">
        <is>
          <t>搭接合計</t>
        </is>
      </c>
      <c r="B82" s="89">
        <f>SUM(B79:B81)</f>
        <v/>
      </c>
      <c r="C82" s="77">
        <f>SUM(C79:C81)</f>
        <v/>
      </c>
    </row>
    <row r="84" ht="15" customHeight="1" s="48">
      <c r="A84" s="53" t="inlineStr">
        <is>
          <t>▎ 九、費用估算</t>
        </is>
      </c>
    </row>
    <row r="85" ht="15" customHeight="1" s="48">
      <c r="A85" s="59" t="inlineStr">
        <is>
          <t>工項</t>
        </is>
      </c>
      <c r="B85" s="59" t="inlineStr">
        <is>
          <t>數量</t>
        </is>
      </c>
      <c r="C85" s="59" t="inlineStr">
        <is>
          <t>單位</t>
        </is>
      </c>
      <c r="D85" s="59" t="inlineStr">
        <is>
          <t>單價 (元)</t>
        </is>
      </c>
      <c r="E85" s="59" t="inlineStr">
        <is>
          <t>金額 (元)</t>
        </is>
      </c>
    </row>
    <row r="86" ht="15" customHeight="1" s="48">
      <c r="A86" s="67" t="inlineStr">
        <is>
          <t>混凝土 fc'=280</t>
        </is>
      </c>
      <c r="B86" s="83">
        <f>B15</f>
        <v/>
      </c>
      <c r="C86" s="61" t="inlineStr">
        <is>
          <t>m3</t>
        </is>
      </c>
      <c r="D86" s="90">
        <f>'1-專案資訊'!B10</f>
        <v/>
      </c>
      <c r="E86" s="88">
        <f>B86*D86</f>
        <v/>
      </c>
    </row>
    <row r="87" ht="15" customHeight="1" s="48">
      <c r="A87" s="67" t="inlineStr">
        <is>
          <t>混凝土 fc'=210</t>
        </is>
      </c>
      <c r="B87" s="83">
        <f>C15</f>
        <v/>
      </c>
      <c r="C87" s="61" t="inlineStr">
        <is>
          <t>m3</t>
        </is>
      </c>
      <c r="D87" s="90">
        <f>'1-專案資訊'!B9</f>
        <v/>
      </c>
      <c r="E87" s="88">
        <f>B87*D87</f>
        <v/>
      </c>
    </row>
    <row r="88" ht="15" customHeight="1" s="48">
      <c r="A88" s="61" t="inlineStr">
        <is>
          <t>PC墊層 fc'=140</t>
        </is>
      </c>
      <c r="B88" s="83">
        <f>B22</f>
        <v/>
      </c>
      <c r="C88" s="61" t="inlineStr">
        <is>
          <t>m3</t>
        </is>
      </c>
      <c r="D88" s="90">
        <f>'1-專案資訊'!B15</f>
        <v/>
      </c>
      <c r="E88" s="88">
        <f>B88*D88</f>
        <v/>
      </c>
    </row>
    <row r="89" ht="15" customHeight="1" s="48">
      <c r="A89" s="67" t="inlineStr">
        <is>
          <t>鋼筋 SD280</t>
        </is>
      </c>
      <c r="B89" s="83">
        <f>C35</f>
        <v/>
      </c>
      <c r="C89" s="67" t="inlineStr">
        <is>
          <t>噸</t>
        </is>
      </c>
      <c r="D89" s="90">
        <f>'1-專案資訊'!B11</f>
        <v/>
      </c>
      <c r="E89" s="88">
        <f>B89*D89</f>
        <v/>
      </c>
    </row>
    <row r="90" ht="15" customHeight="1" s="48">
      <c r="A90" s="67" t="inlineStr">
        <is>
          <t>鋼筋 SD420</t>
        </is>
      </c>
      <c r="B90" s="83">
        <f>E36</f>
        <v/>
      </c>
      <c r="C90" s="67" t="inlineStr">
        <is>
          <t>噸</t>
        </is>
      </c>
      <c r="D90" s="90">
        <f>'1-專案資訊'!B12</f>
        <v/>
      </c>
      <c r="E90" s="88">
        <f>B90*D90</f>
        <v/>
      </c>
    </row>
    <row r="91" ht="15" customHeight="1" s="48">
      <c r="A91" s="67" t="inlineStr">
        <is>
          <t>鋼絲網 WWM</t>
        </is>
      </c>
      <c r="B91" s="83">
        <f>C44</f>
        <v/>
      </c>
      <c r="C91" s="67" t="inlineStr">
        <is>
          <t>噸</t>
        </is>
      </c>
      <c r="D91" s="90">
        <f>'1-專案資訊'!B18</f>
        <v/>
      </c>
      <c r="E91" s="88">
        <f>B91*D91</f>
        <v/>
      </c>
    </row>
    <row r="92" ht="15" customHeight="1" s="48">
      <c r="A92" s="67" t="inlineStr">
        <is>
          <t>模板</t>
        </is>
      </c>
      <c r="B92" s="83">
        <f>B56</f>
        <v/>
      </c>
      <c r="C92" s="61" t="inlineStr">
        <is>
          <t>m2</t>
        </is>
      </c>
      <c r="D92" s="90">
        <f>'1-專案資訊'!B13</f>
        <v/>
      </c>
      <c r="E92" s="88">
        <f>B92*D92</f>
        <v/>
      </c>
    </row>
    <row r="93" ht="15" customHeight="1" s="48">
      <c r="A93" s="67" t="inlineStr">
        <is>
          <t>粉光</t>
        </is>
      </c>
      <c r="B93" s="83">
        <f>B64</f>
        <v/>
      </c>
      <c r="C93" s="61" t="inlineStr">
        <is>
          <t>m2</t>
        </is>
      </c>
      <c r="D93" s="90">
        <f>'1-專案資訊'!B14</f>
        <v/>
      </c>
      <c r="E93" s="88">
        <f>B93*D93</f>
        <v/>
      </c>
    </row>
    <row r="94" ht="15" customHeight="1" s="48">
      <c r="A94" s="67" t="inlineStr">
        <is>
          <t>機械開挖</t>
        </is>
      </c>
      <c r="B94" s="83">
        <f>B74</f>
        <v/>
      </c>
      <c r="C94" s="61" t="inlineStr">
        <is>
          <t>m3</t>
        </is>
      </c>
      <c r="D94" s="90">
        <f>'1-專案資訊'!B16</f>
        <v/>
      </c>
      <c r="E94" s="88">
        <f>B94*D94</f>
        <v/>
      </c>
    </row>
    <row r="95" ht="15" customHeight="1" s="48">
      <c r="A95" s="67" t="inlineStr">
        <is>
          <t>夯實回填</t>
        </is>
      </c>
      <c r="B95" s="83">
        <f>B75</f>
        <v/>
      </c>
      <c r="C95" s="61" t="inlineStr">
        <is>
          <t>m3</t>
        </is>
      </c>
      <c r="D95" s="90">
        <f>'1-專案資訊'!B17</f>
        <v/>
      </c>
      <c r="E95" s="88">
        <f>B95*D95</f>
        <v/>
      </c>
    </row>
    <row r="96" ht="18.75" customHeight="1" s="48">
      <c r="A96" s="91" t="inlineStr">
        <is>
          <t>工程費小計 (元)</t>
        </is>
      </c>
      <c r="E96" s="92">
        <f>SUM(E86:E95)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2026-04-08T06:08:03Z</dcterms:created>
  <dcterms:modified xsi:type="dcterms:W3CDTF">2026-04-11T01:20:05Z</dcterms:modified>
  <cp:revision>0</cp:revision>
</cp:coreProperties>
</file>